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iratessteeluae-my.sharepoint.com/personal/shakeel_awan_emsteel_com/Documents/1. Shakeel/Personel/BANK/GOLD XAU account/"/>
    </mc:Choice>
  </mc:AlternateContent>
  <xr:revisionPtr revIDLastSave="1216" documentId="13_ncr:1_{851D1004-1C5D-48B9-BE48-07C0F232C6FB}" xr6:coauthVersionLast="47" xr6:coauthVersionMax="47" xr10:uidLastSave="{528D0C50-68CF-4A6E-B504-77A52E405494}"/>
  <bookViews>
    <workbookView xWindow="-120" yWindow="-120" windowWidth="29040" windowHeight="15720" xr2:uid="{00000000-000D-0000-FFFF-FFFF00000000}"/>
  </bookViews>
  <sheets>
    <sheet name="Table 1" sheetId="3" r:id="rId1"/>
    <sheet name="Table 1 (2)" sheetId="2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3" l="1"/>
  <c r="P51" i="3"/>
  <c r="Q51" i="3"/>
  <c r="J51" i="3"/>
  <c r="K51" i="3"/>
  <c r="M51" i="3"/>
  <c r="L51" i="3"/>
  <c r="G51" i="3"/>
  <c r="F51" i="3"/>
  <c r="D51" i="3"/>
  <c r="P50" i="3"/>
  <c r="Q50" i="3"/>
  <c r="F50" i="3"/>
  <c r="G50" i="3"/>
  <c r="J50" i="3"/>
  <c r="L50" i="3"/>
  <c r="M50" i="3" s="1"/>
  <c r="K50" i="3"/>
  <c r="D50" i="3"/>
  <c r="Q49" i="3"/>
  <c r="L49" i="3"/>
  <c r="K49" i="3"/>
  <c r="P49" i="3" s="1"/>
  <c r="J49" i="3"/>
  <c r="G49" i="3"/>
  <c r="D49" i="3"/>
  <c r="F49" i="3" s="1"/>
  <c r="P48" i="3"/>
  <c r="Q48" i="3"/>
  <c r="J48" i="3"/>
  <c r="K48" i="3"/>
  <c r="M48" i="3"/>
  <c r="L48" i="3"/>
  <c r="G48" i="3"/>
  <c r="F48" i="3"/>
  <c r="G45" i="3"/>
  <c r="D48" i="3"/>
  <c r="P47" i="3"/>
  <c r="Q47" i="3"/>
  <c r="J47" i="3"/>
  <c r="K47" i="3"/>
  <c r="M47" i="3" s="1"/>
  <c r="L47" i="3"/>
  <c r="G47" i="3"/>
  <c r="F47" i="3"/>
  <c r="D47" i="3"/>
  <c r="P46" i="3"/>
  <c r="J46" i="3"/>
  <c r="K46" i="3"/>
  <c r="L46" i="3"/>
  <c r="Q46" i="3" s="1"/>
  <c r="G46" i="3"/>
  <c r="Q45" i="3"/>
  <c r="J45" i="3"/>
  <c r="K45" i="3"/>
  <c r="P45" i="3" s="1"/>
  <c r="L45" i="3"/>
  <c r="L44" i="3"/>
  <c r="K44" i="3"/>
  <c r="P44" i="3" s="1"/>
  <c r="J44" i="3"/>
  <c r="G44" i="3"/>
  <c r="M49" i="3" l="1"/>
  <c r="M46" i="3"/>
  <c r="M45" i="3"/>
  <c r="M44" i="3"/>
  <c r="Q44" i="3"/>
  <c r="L73" i="3" l="1"/>
  <c r="J74" i="3"/>
  <c r="L74" i="3" s="1"/>
  <c r="J73" i="3"/>
  <c r="J71" i="3"/>
  <c r="L68" i="3"/>
  <c r="M68" i="3" s="1"/>
  <c r="G68" i="3"/>
  <c r="I67" i="3"/>
  <c r="K67" i="3" s="1"/>
  <c r="I66" i="3"/>
  <c r="G67" i="3"/>
  <c r="G66" i="3"/>
  <c r="G65" i="3"/>
  <c r="G64" i="3"/>
  <c r="I65" i="3"/>
  <c r="J43" i="3"/>
  <c r="L43" i="3"/>
  <c r="Q43" i="3" s="1"/>
  <c r="K43" i="3"/>
  <c r="P43" i="3" s="1"/>
  <c r="G43" i="3"/>
  <c r="G42" i="3"/>
  <c r="J42" i="3"/>
  <c r="K42" i="3"/>
  <c r="P42" i="3" s="1"/>
  <c r="L42" i="3"/>
  <c r="Q42" i="3" s="1"/>
  <c r="L41" i="3"/>
  <c r="Q41" i="3" s="1"/>
  <c r="K41" i="3"/>
  <c r="P41" i="3" s="1"/>
  <c r="J41" i="3"/>
  <c r="G41" i="3"/>
  <c r="G40" i="3"/>
  <c r="J40" i="3"/>
  <c r="L40" i="3"/>
  <c r="Q40" i="3" s="1"/>
  <c r="K40" i="3"/>
  <c r="J39" i="3"/>
  <c r="K39" i="3"/>
  <c r="P39" i="3" s="1"/>
  <c r="L39" i="3"/>
  <c r="Q39" i="3" s="1"/>
  <c r="G39" i="3"/>
  <c r="J38" i="3"/>
  <c r="K38" i="3"/>
  <c r="L38" i="3"/>
  <c r="Q38" i="3" s="1"/>
  <c r="L37" i="3"/>
  <c r="Q37" i="3" s="1"/>
  <c r="J37" i="3"/>
  <c r="K37" i="3"/>
  <c r="P37" i="3" s="1"/>
  <c r="J36" i="3"/>
  <c r="K36" i="3"/>
  <c r="P36" i="3" s="1"/>
  <c r="L36" i="3"/>
  <c r="Q36" i="3" s="1"/>
  <c r="G35" i="3"/>
  <c r="J35" i="3"/>
  <c r="L35" i="3"/>
  <c r="Q35" i="3" s="1"/>
  <c r="K35" i="3"/>
  <c r="P35" i="3" s="1"/>
  <c r="J34" i="3"/>
  <c r="K34" i="3"/>
  <c r="L34" i="3"/>
  <c r="Q34" i="3" s="1"/>
  <c r="G34" i="3"/>
  <c r="G33" i="3"/>
  <c r="J33" i="3"/>
  <c r="K33" i="3"/>
  <c r="P33" i="3" s="1"/>
  <c r="L33" i="3"/>
  <c r="Q33" i="3" s="1"/>
  <c r="J32" i="3"/>
  <c r="K32" i="3"/>
  <c r="L32" i="3"/>
  <c r="Q32" i="3" s="1"/>
  <c r="L31" i="3"/>
  <c r="Q31" i="3" s="1"/>
  <c r="K31" i="3"/>
  <c r="P31" i="3" s="1"/>
  <c r="J31" i="3"/>
  <c r="L30" i="3"/>
  <c r="Q30" i="3" s="1"/>
  <c r="K30" i="3"/>
  <c r="J30" i="3"/>
  <c r="L29" i="3"/>
  <c r="Q29" i="3" s="1"/>
  <c r="K29" i="3"/>
  <c r="P29" i="3" s="1"/>
  <c r="J29" i="3"/>
  <c r="G29" i="3"/>
  <c r="J28" i="3"/>
  <c r="L28" i="3"/>
  <c r="K28" i="3"/>
  <c r="P28" i="3" s="1"/>
  <c r="G28" i="3"/>
  <c r="L27" i="3"/>
  <c r="Q27" i="3" s="1"/>
  <c r="K27" i="3"/>
  <c r="P27" i="3" s="1"/>
  <c r="J27" i="3"/>
  <c r="G26" i="3"/>
  <c r="L26" i="3"/>
  <c r="K26" i="3"/>
  <c r="P26" i="3" s="1"/>
  <c r="J26" i="3"/>
  <c r="G59" i="3"/>
  <c r="F59" i="3"/>
  <c r="E25" i="3"/>
  <c r="G25" i="3"/>
  <c r="L25" i="3"/>
  <c r="Q25" i="3" s="1"/>
  <c r="K25" i="3"/>
  <c r="P25" i="3" s="1"/>
  <c r="J25" i="3"/>
  <c r="J24" i="3"/>
  <c r="K24" i="3"/>
  <c r="P24" i="3" s="1"/>
  <c r="L24" i="3"/>
  <c r="Q24" i="3" s="1"/>
  <c r="C60" i="3"/>
  <c r="J23" i="3"/>
  <c r="L23" i="3"/>
  <c r="K23" i="3"/>
  <c r="P23" i="3" s="1"/>
  <c r="G22" i="3"/>
  <c r="O22" i="3"/>
  <c r="L22" i="3"/>
  <c r="Q22" i="3" s="1"/>
  <c r="K22" i="3"/>
  <c r="P22" i="3" s="1"/>
  <c r="J22" i="3"/>
  <c r="L21" i="3"/>
  <c r="Q21" i="3" s="1"/>
  <c r="K21" i="3"/>
  <c r="P21" i="3" s="1"/>
  <c r="J21" i="3"/>
  <c r="L20" i="3"/>
  <c r="Q20" i="3" s="1"/>
  <c r="K20" i="3"/>
  <c r="P20" i="3" s="1"/>
  <c r="J20" i="3"/>
  <c r="L19" i="3"/>
  <c r="Q19" i="3" s="1"/>
  <c r="K19" i="3"/>
  <c r="J19" i="3"/>
  <c r="O18" i="3"/>
  <c r="L18" i="3"/>
  <c r="Q18" i="3" s="1"/>
  <c r="K18" i="3"/>
  <c r="P18" i="3" s="1"/>
  <c r="J18" i="3"/>
  <c r="L17" i="3"/>
  <c r="Q17" i="3" s="1"/>
  <c r="K17" i="3"/>
  <c r="J17" i="3"/>
  <c r="L16" i="3"/>
  <c r="Q16" i="3" s="1"/>
  <c r="K16" i="3"/>
  <c r="P16" i="3" s="1"/>
  <c r="J16" i="3"/>
  <c r="L15" i="3"/>
  <c r="Q15" i="3" s="1"/>
  <c r="K15" i="3"/>
  <c r="P15" i="3" s="1"/>
  <c r="J15" i="3"/>
  <c r="L14" i="3"/>
  <c r="K14" i="3"/>
  <c r="P14" i="3" s="1"/>
  <c r="J14" i="3"/>
  <c r="L13" i="3"/>
  <c r="Q13" i="3" s="1"/>
  <c r="K13" i="3"/>
  <c r="P13" i="3" s="1"/>
  <c r="J13" i="3"/>
  <c r="L12" i="3"/>
  <c r="Q12" i="3" s="1"/>
  <c r="K12" i="3"/>
  <c r="P12" i="3" s="1"/>
  <c r="J12" i="3"/>
  <c r="O11" i="3"/>
  <c r="L11" i="3"/>
  <c r="Q11" i="3" s="1"/>
  <c r="K11" i="3"/>
  <c r="P11" i="3" s="1"/>
  <c r="J11" i="3"/>
  <c r="L10" i="3"/>
  <c r="Q10" i="3" s="1"/>
  <c r="K10" i="3"/>
  <c r="P10" i="3" s="1"/>
  <c r="J10" i="3"/>
  <c r="L9" i="3"/>
  <c r="Q9" i="3" s="1"/>
  <c r="K9" i="3"/>
  <c r="P9" i="3" s="1"/>
  <c r="J9" i="3"/>
  <c r="L8" i="3"/>
  <c r="Q8" i="3" s="1"/>
  <c r="K8" i="3"/>
  <c r="P8" i="3" s="1"/>
  <c r="J8" i="3"/>
  <c r="L7" i="3"/>
  <c r="Q7" i="3" s="1"/>
  <c r="K7" i="3"/>
  <c r="P7" i="3" s="1"/>
  <c r="J7" i="3"/>
  <c r="L6" i="3"/>
  <c r="Q6" i="3" s="1"/>
  <c r="K6" i="3"/>
  <c r="P6" i="3" s="1"/>
  <c r="J6" i="3"/>
  <c r="L5" i="3"/>
  <c r="Q5" i="3" s="1"/>
  <c r="K5" i="3"/>
  <c r="P5" i="3" s="1"/>
  <c r="J5" i="3"/>
  <c r="L4" i="3"/>
  <c r="Q4" i="3" s="1"/>
  <c r="K4" i="3"/>
  <c r="J4" i="3"/>
  <c r="L3" i="3"/>
  <c r="Q3" i="3" s="1"/>
  <c r="K3" i="3"/>
  <c r="P3" i="3" s="1"/>
  <c r="J3" i="3"/>
  <c r="O2" i="3"/>
  <c r="K2" i="3"/>
  <c r="P2" i="3" s="1"/>
  <c r="D2" i="3"/>
  <c r="F2" i="3" s="1"/>
  <c r="N29" i="2"/>
  <c r="G39" i="2"/>
  <c r="F39" i="2"/>
  <c r="O29" i="2"/>
  <c r="J29" i="2"/>
  <c r="J28" i="2"/>
  <c r="O28" i="2" s="1"/>
  <c r="N35" i="2"/>
  <c r="N26" i="2"/>
  <c r="E43" i="2"/>
  <c r="O27" i="2"/>
  <c r="J27" i="2"/>
  <c r="L27" i="2" s="1"/>
  <c r="F10" i="2"/>
  <c r="E42" i="2"/>
  <c r="K26" i="2"/>
  <c r="J26" i="2"/>
  <c r="O26" i="2" s="1"/>
  <c r="E40" i="2"/>
  <c r="E41" i="2"/>
  <c r="J25" i="2"/>
  <c r="O25" i="2" s="1"/>
  <c r="J24" i="2"/>
  <c r="O24" i="2" s="1"/>
  <c r="J11" i="2"/>
  <c r="O11" i="2" s="1"/>
  <c r="J23" i="2"/>
  <c r="O23" i="2" s="1"/>
  <c r="J22" i="2"/>
  <c r="O22" i="2" s="1"/>
  <c r="J21" i="2"/>
  <c r="O21" i="2" s="1"/>
  <c r="I13" i="2"/>
  <c r="I15" i="2"/>
  <c r="I16" i="2"/>
  <c r="K20" i="2"/>
  <c r="P20" i="2" s="1"/>
  <c r="K19" i="2"/>
  <c r="P19" i="2" s="1"/>
  <c r="J20" i="2"/>
  <c r="O20" i="2" s="1"/>
  <c r="J19" i="2"/>
  <c r="O19" i="2" s="1"/>
  <c r="N19" i="2"/>
  <c r="J18" i="2"/>
  <c r="J17" i="2"/>
  <c r="O17" i="2" s="1"/>
  <c r="J16" i="2"/>
  <c r="O16" i="2" s="1"/>
  <c r="J15" i="2"/>
  <c r="J14" i="2"/>
  <c r="O14" i="2" s="1"/>
  <c r="J13" i="2"/>
  <c r="N10" i="2"/>
  <c r="I18" i="2"/>
  <c r="J12" i="2"/>
  <c r="O12" i="2" s="1"/>
  <c r="J10" i="2"/>
  <c r="O10" i="2" s="1"/>
  <c r="K17" i="2"/>
  <c r="P17" i="2" s="1"/>
  <c r="K6" i="2"/>
  <c r="J6" i="2"/>
  <c r="K31" i="2"/>
  <c r="K30" i="2"/>
  <c r="K29" i="2"/>
  <c r="K28" i="2"/>
  <c r="K27" i="2"/>
  <c r="K25" i="2"/>
  <c r="K24" i="2"/>
  <c r="K23" i="2"/>
  <c r="K22" i="2"/>
  <c r="P22" i="2" s="1"/>
  <c r="K21" i="2"/>
  <c r="P21" i="2" s="1"/>
  <c r="K18" i="2"/>
  <c r="P18" i="2" s="1"/>
  <c r="K16" i="2"/>
  <c r="P16" i="2" s="1"/>
  <c r="K15" i="2"/>
  <c r="P15" i="2" s="1"/>
  <c r="K14" i="2"/>
  <c r="P14" i="2" s="1"/>
  <c r="K13" i="2"/>
  <c r="P13" i="2" s="1"/>
  <c r="K12" i="2"/>
  <c r="P12" i="2" s="1"/>
  <c r="J31" i="2"/>
  <c r="J30" i="2"/>
  <c r="I31" i="2"/>
  <c r="I30" i="2"/>
  <c r="I29" i="2"/>
  <c r="I28" i="2"/>
  <c r="I27" i="2"/>
  <c r="I26" i="2"/>
  <c r="I25" i="2"/>
  <c r="I24" i="2"/>
  <c r="I23" i="2"/>
  <c r="I22" i="2"/>
  <c r="I21" i="2"/>
  <c r="I20" i="2"/>
  <c r="I17" i="2"/>
  <c r="I14" i="2"/>
  <c r="I12" i="2"/>
  <c r="I11" i="2"/>
  <c r="D10" i="2"/>
  <c r="D11" i="2" s="1"/>
  <c r="K11" i="2"/>
  <c r="I19" i="2"/>
  <c r="L12" i="2"/>
  <c r="M39" i="3" l="1"/>
  <c r="J66" i="3"/>
  <c r="K65" i="3"/>
  <c r="J65" i="3"/>
  <c r="J67" i="3"/>
  <c r="M40" i="3"/>
  <c r="K66" i="3"/>
  <c r="L66" i="3" s="1"/>
  <c r="M66" i="3" s="1"/>
  <c r="L67" i="3"/>
  <c r="M67" i="3" s="1"/>
  <c r="L65" i="3"/>
  <c r="M65" i="3" s="1"/>
  <c r="I64" i="3"/>
  <c r="J64" i="3" s="1"/>
  <c r="M38" i="3"/>
  <c r="P40" i="3"/>
  <c r="M42" i="3"/>
  <c r="M41" i="3"/>
  <c r="M43" i="3"/>
  <c r="M30" i="3"/>
  <c r="P38" i="3"/>
  <c r="M37" i="3"/>
  <c r="M28" i="3"/>
  <c r="M34" i="3"/>
  <c r="Q28" i="3"/>
  <c r="P30" i="3"/>
  <c r="M36" i="3"/>
  <c r="P34" i="3"/>
  <c r="M35" i="3"/>
  <c r="M32" i="3"/>
  <c r="M33" i="3"/>
  <c r="P32" i="3"/>
  <c r="M31" i="3"/>
  <c r="M29" i="3"/>
  <c r="M26" i="3"/>
  <c r="M25" i="3"/>
  <c r="M19" i="3"/>
  <c r="M27" i="3"/>
  <c r="Q26" i="3"/>
  <c r="M24" i="3"/>
  <c r="M23" i="3"/>
  <c r="Q23" i="3"/>
  <c r="M4" i="3"/>
  <c r="M22" i="3"/>
  <c r="P19" i="3"/>
  <c r="M17" i="3"/>
  <c r="M11" i="3"/>
  <c r="M14" i="3"/>
  <c r="P17" i="3"/>
  <c r="M5" i="3"/>
  <c r="M8" i="3"/>
  <c r="D3" i="3"/>
  <c r="Q14" i="3"/>
  <c r="M3" i="3"/>
  <c r="M6" i="3"/>
  <c r="M7" i="3"/>
  <c r="M10" i="3"/>
  <c r="M16" i="3"/>
  <c r="P4" i="3"/>
  <c r="M13" i="3"/>
  <c r="M21" i="3"/>
  <c r="M18" i="3"/>
  <c r="M9" i="3"/>
  <c r="M12" i="3"/>
  <c r="M15" i="3"/>
  <c r="M20" i="3"/>
  <c r="L29" i="2"/>
  <c r="L22" i="2"/>
  <c r="L26" i="2"/>
  <c r="L28" i="2"/>
  <c r="L23" i="2"/>
  <c r="L21" i="2"/>
  <c r="L11" i="2"/>
  <c r="L13" i="2"/>
  <c r="L15" i="2"/>
  <c r="L25" i="2"/>
  <c r="F11" i="2"/>
  <c r="D12" i="2"/>
  <c r="L18" i="2"/>
  <c r="L14" i="2"/>
  <c r="O13" i="2"/>
  <c r="L31" i="2"/>
  <c r="O15" i="2"/>
  <c r="L30" i="2"/>
  <c r="L20" i="2"/>
  <c r="P11" i="2"/>
  <c r="L16" i="2"/>
  <c r="L19" i="2"/>
  <c r="L17" i="2"/>
  <c r="O18" i="2"/>
  <c r="L24" i="2"/>
  <c r="K64" i="3" l="1"/>
  <c r="L64" i="3" s="1"/>
  <c r="M64" i="3" s="1"/>
  <c r="D4" i="3"/>
  <c r="F4" i="3" s="1"/>
  <c r="F3" i="3"/>
  <c r="D13" i="2"/>
  <c r="F12" i="2"/>
  <c r="D5" i="3" l="1"/>
  <c r="F5" i="3" s="1"/>
  <c r="F13" i="2"/>
  <c r="D14" i="2"/>
  <c r="D6" i="3" l="1"/>
  <c r="D7" i="3" s="1"/>
  <c r="F14" i="2"/>
  <c r="D15" i="2"/>
  <c r="F7" i="3" l="1"/>
  <c r="D8" i="3"/>
  <c r="F8" i="3" s="1"/>
  <c r="F6" i="3"/>
  <c r="D16" i="2"/>
  <c r="F15" i="2"/>
  <c r="D9" i="3" l="1"/>
  <c r="F9" i="3" s="1"/>
  <c r="F16" i="2"/>
  <c r="D17" i="2"/>
  <c r="D10" i="3" l="1"/>
  <c r="F10" i="3" s="1"/>
  <c r="F17" i="2"/>
  <c r="D18" i="2"/>
  <c r="D11" i="3" l="1"/>
  <c r="F11" i="3" s="1"/>
  <c r="D12" i="3"/>
  <c r="F12" i="3" s="1"/>
  <c r="D19" i="2"/>
  <c r="F18" i="2"/>
  <c r="D13" i="3" l="1"/>
  <c r="F13" i="3" s="1"/>
  <c r="F19" i="2"/>
  <c r="D20" i="2"/>
  <c r="D14" i="3" l="1"/>
  <c r="F14" i="3" s="1"/>
  <c r="D21" i="2"/>
  <c r="F20" i="2"/>
  <c r="D15" i="3" l="1"/>
  <c r="F15" i="3" s="1"/>
  <c r="F21" i="2"/>
  <c r="D22" i="2"/>
  <c r="D16" i="3" l="1"/>
  <c r="F16" i="3" s="1"/>
  <c r="F22" i="2"/>
  <c r="D23" i="2"/>
  <c r="D17" i="3" l="1"/>
  <c r="F17" i="3" s="1"/>
  <c r="D24" i="2"/>
  <c r="F23" i="2"/>
  <c r="D18" i="3" l="1"/>
  <c r="F18" i="3" s="1"/>
  <c r="D25" i="2"/>
  <c r="F24" i="2"/>
  <c r="D19" i="3" l="1"/>
  <c r="F19" i="3" s="1"/>
  <c r="F25" i="2"/>
  <c r="D26" i="2"/>
  <c r="D20" i="3" l="1"/>
  <c r="F20" i="3" s="1"/>
  <c r="D27" i="2"/>
  <c r="F26" i="2"/>
  <c r="D21" i="3" l="1"/>
  <c r="F21" i="3" s="1"/>
  <c r="F27" i="2"/>
  <c r="D28" i="2"/>
  <c r="D22" i="3" l="1"/>
  <c r="F22" i="3" s="1"/>
  <c r="F28" i="2"/>
  <c r="D29" i="2"/>
  <c r="D23" i="3" l="1"/>
  <c r="F23" i="3" s="1"/>
  <c r="F29" i="2"/>
  <c r="D30" i="2"/>
  <c r="D24" i="3" l="1"/>
  <c r="F24" i="3" s="1"/>
  <c r="C61" i="3"/>
  <c r="F30" i="2"/>
  <c r="D31" i="2"/>
  <c r="F31" i="2" s="1"/>
  <c r="D25" i="3" l="1"/>
  <c r="F25" i="3" s="1"/>
  <c r="D26" i="3" l="1"/>
  <c r="F26" i="3" s="1"/>
  <c r="D27" i="3" l="1"/>
  <c r="F27" i="3" s="1"/>
  <c r="D28" i="3" l="1"/>
  <c r="F28" i="3" s="1"/>
  <c r="D29" i="3" l="1"/>
  <c r="F29" i="3" s="1"/>
  <c r="D30" i="3" l="1"/>
  <c r="F30" i="3" s="1"/>
  <c r="D31" i="3" l="1"/>
  <c r="F31" i="3" s="1"/>
  <c r="D32" i="3" l="1"/>
  <c r="F32" i="3" s="1"/>
  <c r="D33" i="3" l="1"/>
  <c r="F33" i="3" s="1"/>
  <c r="D34" i="3" l="1"/>
  <c r="F34" i="3" s="1"/>
  <c r="D35" i="3" l="1"/>
  <c r="F35" i="3" s="1"/>
  <c r="D36" i="3" l="1"/>
  <c r="F36" i="3" l="1"/>
  <c r="D37" i="3"/>
  <c r="D38" i="3" l="1"/>
  <c r="D39" i="3" s="1"/>
  <c r="F37" i="3"/>
  <c r="D40" i="3" l="1"/>
  <c r="F39" i="3"/>
  <c r="F38" i="3"/>
  <c r="D41" i="3" l="1"/>
  <c r="F40" i="3"/>
  <c r="D42" i="3" l="1"/>
  <c r="F41" i="3"/>
  <c r="D43" i="3" l="1"/>
  <c r="F42" i="3"/>
  <c r="F43" i="3" l="1"/>
  <c r="D44" i="3"/>
  <c r="F44" i="3" l="1"/>
  <c r="D45" i="3"/>
  <c r="F45" i="3" l="1"/>
  <c r="D46" i="3"/>
  <c r="F46" i="3" s="1"/>
</calcChain>
</file>

<file path=xl/sharedStrings.xml><?xml version="1.0" encoding="utf-8"?>
<sst xmlns="http://schemas.openxmlformats.org/spreadsheetml/2006/main" count="151" uniqueCount="102">
  <si>
    <t>XAU account</t>
  </si>
  <si>
    <t>try oince</t>
  </si>
  <si>
    <t>Gram</t>
  </si>
  <si>
    <t>need to check how much gm in ounce bank consider</t>
  </si>
  <si>
    <t>Date</t>
  </si>
  <si>
    <t>Wt. (Try Ounce)</t>
  </si>
  <si>
    <t>Paid (AED)</t>
  </si>
  <si>
    <t>Asset (AED) equil to AED in Mobile App</t>
  </si>
  <si>
    <t xml:space="preserve">Difference (AED) P/L </t>
  </si>
  <si>
    <t>Buying rate / Try Ounce</t>
  </si>
  <si>
    <t>difference in buy / Sell</t>
  </si>
  <si>
    <t>Price / gram
(Buying)</t>
  </si>
  <si>
    <t>Price / gram
(Selling)</t>
  </si>
  <si>
    <t>difference / gram (AED)</t>
  </si>
  <si>
    <t>Malabar</t>
  </si>
  <si>
    <t>difference (ADCB - Malabar) / gram (Selling)</t>
  </si>
  <si>
    <t>gold trade.ae</t>
  </si>
  <si>
    <t>silver (buying)</t>
  </si>
  <si>
    <t>silver (selling)</t>
  </si>
  <si>
    <t>try ounce (31.103 g)</t>
  </si>
  <si>
    <t>gram</t>
  </si>
  <si>
    <t>check fee and gold rate from bank</t>
  </si>
  <si>
    <t>malabar</t>
  </si>
  <si>
    <t>28.09.2025</t>
  </si>
  <si>
    <t>selling rate / Try Ounce</t>
  </si>
  <si>
    <t>difference (ADCB - Malabar) / gram (Bying)</t>
  </si>
  <si>
    <t>10.10.2025</t>
  </si>
  <si>
    <t>ADCB Asset /gm</t>
  </si>
  <si>
    <t>Spent (price of 1 Try ounce)</t>
  </si>
  <si>
    <t>13.10.2025</t>
  </si>
  <si>
    <t>30.10.2025</t>
  </si>
  <si>
    <t>23.12.2025</t>
  </si>
  <si>
    <t>buy from us</t>
  </si>
  <si>
    <t>sell to us</t>
  </si>
  <si>
    <t>aed equ to gold rate but when need money buying rate will apply</t>
  </si>
  <si>
    <t>13.01.2026</t>
  </si>
  <si>
    <t xml:space="preserve"> one try ounce rate</t>
  </si>
  <si>
    <t>16.01.2026</t>
  </si>
  <si>
    <t>19.01.2026</t>
  </si>
  <si>
    <t>21.01.2026</t>
  </si>
  <si>
    <t>25.01.2025</t>
  </si>
  <si>
    <t>Quantity_oz</t>
  </si>
  <si>
    <t>Paid_AED</t>
  </si>
  <si>
    <t>Bank_Sell_oz</t>
  </si>
  <si>
    <t>Bank_Buy_oz</t>
  </si>
  <si>
    <t>Spent_AED</t>
  </si>
  <si>
    <t>26.01.2026</t>
  </si>
  <si>
    <t>Emergency_Exit_Value</t>
  </si>
  <si>
    <t>Emergeny Exit value</t>
  </si>
  <si>
    <t>latest Bank buy price / total ounce</t>
  </si>
  <si>
    <t>profit</t>
  </si>
  <si>
    <t>Total value</t>
  </si>
  <si>
    <t>AED</t>
  </si>
  <si>
    <t>27.01.2026</t>
  </si>
  <si>
    <t>25.01.2026</t>
  </si>
  <si>
    <t>28.01.2026</t>
  </si>
  <si>
    <t>29.01.2026</t>
  </si>
  <si>
    <t>30.01.2026</t>
  </si>
  <si>
    <t>31.01.2026</t>
  </si>
  <si>
    <t>02.02.2026</t>
  </si>
  <si>
    <t>03.02.2026</t>
  </si>
  <si>
    <t>04.02.2026</t>
  </si>
  <si>
    <t>10.02.2026</t>
  </si>
  <si>
    <t>14.02.2026</t>
  </si>
  <si>
    <t>16.02.2026</t>
  </si>
  <si>
    <t>22.02.2026</t>
  </si>
  <si>
    <t>27.02.2026</t>
  </si>
  <si>
    <t>02.03.2026</t>
  </si>
  <si>
    <t>08.03.2026</t>
  </si>
  <si>
    <t>14.03.2026</t>
  </si>
  <si>
    <t>21.03.2026</t>
  </si>
  <si>
    <t>23.03.2026</t>
  </si>
  <si>
    <t>26.03.2026</t>
  </si>
  <si>
    <t>01.04.2026</t>
  </si>
  <si>
    <t>28.03.2026</t>
  </si>
  <si>
    <t>wt</t>
  </si>
  <si>
    <t>amount</t>
  </si>
  <si>
    <t>gold rate</t>
  </si>
  <si>
    <t>avg rate with making charges</t>
  </si>
  <si>
    <t>Making charges</t>
  </si>
  <si>
    <t>with VAT</t>
  </si>
  <si>
    <t>amount with MC</t>
  </si>
  <si>
    <t>MC</t>
  </si>
  <si>
    <t>total amount</t>
  </si>
  <si>
    <t>biscuit</t>
  </si>
  <si>
    <t>22 carat</t>
  </si>
  <si>
    <t>rate 22 carat</t>
  </si>
  <si>
    <t>09.03.2020</t>
  </si>
  <si>
    <t>danish</t>
  </si>
  <si>
    <t>with tax and vat</t>
  </si>
  <si>
    <t>pkr</t>
  </si>
  <si>
    <t>8.04.2026</t>
  </si>
  <si>
    <t>check in morning</t>
  </si>
  <si>
    <t>these rates are on 08.04.2026 after bank closing on web site and are differnet from mobile app rates</t>
  </si>
  <si>
    <t>09.04.2026</t>
  </si>
  <si>
    <t>15.04.2026</t>
  </si>
  <si>
    <t>21.04.2026</t>
  </si>
  <si>
    <t>30.04.2026</t>
  </si>
  <si>
    <t>07.06.2026</t>
  </si>
  <si>
    <t>10.06.2026</t>
  </si>
  <si>
    <t>25.06.2026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</si>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</sst>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000"/>
    <numFmt numFmtId="166" formatCode="#,##0.0000"/>
    <numFmt numFmtId="167" formatCode="#,##0.00000"/>
  </numFmts>
  <fonts count="11" x14ac:knownFonts="1">
    <font>
      <sz val="10"/>
      <color rgb="FF000000"/>
      <name val="Times New Roman"/>
      <charset val="204"/>
    </font>
    <font>
      <sz val="15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3"/>
      <name val="Lucida Sans"/>
      <family val="2"/>
    </font>
    <font>
      <sz val="16"/>
      <color rgb="FFFF0000"/>
      <name val="Times New Roman"/>
      <family val="1"/>
    </font>
    <font>
      <sz val="18"/>
      <color rgb="FFFF0000"/>
      <name val="Arial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8"/>
      <color rgb="FF000000"/>
      <name val="Times New Roman"/>
      <family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right" vertical="top" shrinkToFit="1"/>
    </xf>
    <xf numFmtId="2" fontId="0" fillId="0" borderId="0" xfId="0" applyNumberFormat="1" applyAlignment="1">
      <alignment horizontal="left" vertical="top"/>
    </xf>
    <xf numFmtId="0" fontId="4" fillId="2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2" borderId="5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165" fontId="2" fillId="0" borderId="3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right" vertical="top" shrinkToFit="1"/>
    </xf>
    <xf numFmtId="166" fontId="2" fillId="0" borderId="3" xfId="0" applyNumberFormat="1" applyFont="1" applyBorder="1" applyAlignment="1">
      <alignment vertical="top" wrapText="1"/>
    </xf>
    <xf numFmtId="166" fontId="3" fillId="0" borderId="3" xfId="0" applyNumberFormat="1" applyFont="1" applyBorder="1" applyAlignment="1">
      <alignment horizontal="right" vertical="top" shrinkToFit="1"/>
    </xf>
    <xf numFmtId="166" fontId="3" fillId="3" borderId="1" xfId="0" applyNumberFormat="1" applyFont="1" applyFill="1" applyBorder="1" applyAlignment="1">
      <alignment horizontal="right" vertical="top" shrinkToFit="1"/>
    </xf>
    <xf numFmtId="166" fontId="2" fillId="3" borderId="3" xfId="0" applyNumberFormat="1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horizontal="left" vertical="top" shrinkToFit="1"/>
    </xf>
    <xf numFmtId="2" fontId="3" fillId="3" borderId="1" xfId="0" applyNumberFormat="1" applyFont="1" applyFill="1" applyBorder="1" applyAlignment="1">
      <alignment horizontal="right" vertical="top" shrinkToFit="1"/>
    </xf>
    <xf numFmtId="164" fontId="3" fillId="3" borderId="2" xfId="0" applyNumberFormat="1" applyFont="1" applyFill="1" applyBorder="1" applyAlignment="1">
      <alignment horizontal="left" vertical="top" shrinkToFit="1"/>
    </xf>
    <xf numFmtId="0" fontId="2" fillId="4" borderId="1" xfId="0" applyFont="1" applyFill="1" applyBorder="1" applyAlignment="1">
      <alignment horizontal="left" vertical="top" wrapText="1"/>
    </xf>
    <xf numFmtId="165" fontId="2" fillId="4" borderId="3" xfId="0" applyNumberFormat="1" applyFont="1" applyFill="1" applyBorder="1" applyAlignment="1">
      <alignment vertical="top" wrapText="1"/>
    </xf>
    <xf numFmtId="167" fontId="3" fillId="3" borderId="1" xfId="0" applyNumberFormat="1" applyFont="1" applyFill="1" applyBorder="1" applyAlignment="1">
      <alignment horizontal="right" vertical="top" shrinkToFit="1"/>
    </xf>
    <xf numFmtId="167" fontId="2" fillId="3" borderId="3" xfId="0" applyNumberFormat="1" applyFont="1" applyFill="1" applyBorder="1" applyAlignment="1">
      <alignment vertical="top" wrapText="1"/>
    </xf>
    <xf numFmtId="165" fontId="2" fillId="4" borderId="1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2" fontId="3" fillId="0" borderId="2" xfId="0" applyNumberFormat="1" applyFont="1" applyBorder="1" applyAlignment="1">
      <alignment vertical="top" shrinkToFit="1"/>
    </xf>
    <xf numFmtId="2" fontId="3" fillId="0" borderId="4" xfId="0" applyNumberFormat="1" applyFont="1" applyBorder="1" applyAlignment="1">
      <alignment vertical="top" shrinkToFit="1"/>
    </xf>
    <xf numFmtId="2" fontId="3" fillId="0" borderId="3" xfId="0" applyNumberFormat="1" applyFont="1" applyBorder="1" applyAlignment="1">
      <alignment vertical="top" shrinkToFit="1"/>
    </xf>
    <xf numFmtId="4" fontId="3" fillId="0" borderId="2" xfId="0" applyNumberFormat="1" applyFont="1" applyBorder="1" applyAlignment="1">
      <alignment vertical="top" shrinkToFit="1"/>
    </xf>
    <xf numFmtId="4" fontId="3" fillId="0" borderId="4" xfId="0" applyNumberFormat="1" applyFont="1" applyBorder="1" applyAlignment="1">
      <alignment vertical="top" shrinkToFit="1"/>
    </xf>
    <xf numFmtId="4" fontId="3" fillId="0" borderId="3" xfId="0" applyNumberFormat="1" applyFont="1" applyBorder="1" applyAlignment="1">
      <alignment vertical="top" shrinkToFi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2" fontId="2" fillId="0" borderId="3" xfId="0" applyNumberFormat="1" applyFont="1" applyBorder="1" applyAlignment="1">
      <alignment horizontal="left" vertical="top" wrapText="1"/>
    </xf>
    <xf numFmtId="4" fontId="2" fillId="5" borderId="1" xfId="0" applyNumberFormat="1" applyFont="1" applyFill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left" vertical="top" wrapText="1"/>
    </xf>
    <xf numFmtId="4" fontId="0" fillId="0" borderId="0" xfId="0" applyNumberFormat="1" applyAlignment="1">
      <alignment horizontal="left" vertical="top"/>
    </xf>
    <xf numFmtId="0" fontId="1" fillId="0" borderId="4" xfId="0" applyFont="1" applyBorder="1" applyAlignment="1">
      <alignment vertical="top"/>
    </xf>
    <xf numFmtId="2" fontId="3" fillId="3" borderId="1" xfId="0" applyNumberFormat="1" applyFont="1" applyFill="1" applyBorder="1" applyAlignment="1">
      <alignment horizontal="left" vertical="top" shrinkToFit="1"/>
    </xf>
    <xf numFmtId="2" fontId="3" fillId="3" borderId="2" xfId="0" applyNumberFormat="1" applyFont="1" applyFill="1" applyBorder="1" applyAlignment="1">
      <alignment horizontal="left" vertical="top" shrinkToFi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left" vertical="top"/>
    </xf>
    <xf numFmtId="0" fontId="2" fillId="2" borderId="3" xfId="0" applyFont="1" applyFill="1" applyBorder="1" applyAlignment="1">
      <alignment vertical="top" wrapText="1"/>
    </xf>
    <xf numFmtId="167" fontId="2" fillId="2" borderId="3" xfId="0" applyNumberFormat="1" applyFont="1" applyFill="1" applyBorder="1" applyAlignment="1">
      <alignment vertical="top" wrapText="1"/>
    </xf>
    <xf numFmtId="0" fontId="10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166" fontId="3" fillId="0" borderId="4" xfId="0" applyNumberFormat="1" applyFont="1" applyBorder="1" applyAlignment="1">
      <alignment horizontal="right" vertical="top" shrinkToFit="1"/>
    </xf>
    <xf numFmtId="167" fontId="2" fillId="3" borderId="9" xfId="0" applyNumberFormat="1" applyFont="1" applyFill="1" applyBorder="1" applyAlignment="1">
      <alignment vertical="top" wrapText="1"/>
    </xf>
    <xf numFmtId="167" fontId="3" fillId="3" borderId="10" xfId="0" applyNumberFormat="1" applyFont="1" applyFill="1" applyBorder="1" applyAlignment="1">
      <alignment horizontal="right" vertical="top" shrinkToFit="1"/>
    </xf>
    <xf numFmtId="166" fontId="3" fillId="0" borderId="9" xfId="0" applyNumberFormat="1" applyFont="1" applyBorder="1" applyAlignment="1">
      <alignment horizontal="right" vertical="top" shrinkToFit="1"/>
    </xf>
    <xf numFmtId="165" fontId="2" fillId="4" borderId="9" xfId="0" applyNumberFormat="1" applyFont="1" applyFill="1" applyBorder="1" applyAlignment="1">
      <alignment vertical="top" wrapText="1"/>
    </xf>
    <xf numFmtId="165" fontId="2" fillId="0" borderId="9" xfId="0" applyNumberFormat="1" applyFont="1" applyBorder="1" applyAlignment="1">
      <alignment vertical="top" wrapText="1"/>
    </xf>
    <xf numFmtId="0" fontId="2" fillId="0" borderId="10" xfId="0" applyFont="1" applyBorder="1" applyAlignment="1">
      <alignment horizontal="left" vertical="top" wrapText="1"/>
    </xf>
    <xf numFmtId="4" fontId="2" fillId="5" borderId="10" xfId="0" applyNumberFormat="1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167" fontId="2" fillId="3" borderId="8" xfId="0" applyNumberFormat="1" applyFont="1" applyFill="1" applyBorder="1" applyAlignment="1">
      <alignment vertical="top" wrapText="1"/>
    </xf>
    <xf numFmtId="167" fontId="3" fillId="3" borderId="8" xfId="0" applyNumberFormat="1" applyFont="1" applyFill="1" applyBorder="1" applyAlignment="1">
      <alignment horizontal="right" vertical="top" shrinkToFit="1"/>
    </xf>
    <xf numFmtId="166" fontId="3" fillId="0" borderId="8" xfId="0" applyNumberFormat="1" applyFont="1" applyBorder="1" applyAlignment="1">
      <alignment horizontal="right" vertical="top" shrinkToFit="1"/>
    </xf>
    <xf numFmtId="165" fontId="2" fillId="4" borderId="8" xfId="0" applyNumberFormat="1" applyFont="1" applyFill="1" applyBorder="1" applyAlignment="1">
      <alignment vertical="top" wrapText="1"/>
    </xf>
    <xf numFmtId="165" fontId="2" fillId="0" borderId="8" xfId="0" applyNumberFormat="1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4" fontId="2" fillId="5" borderId="8" xfId="0" applyNumberFormat="1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 vertical="top"/>
    </xf>
    <xf numFmtId="166" fontId="3" fillId="2" borderId="1" xfId="0" applyNumberFormat="1" applyFont="1" applyFill="1" applyBorder="1" applyAlignment="1">
      <alignment horizontal="right" vertical="top" shrinkToFit="1"/>
    </xf>
    <xf numFmtId="2" fontId="3" fillId="3" borderId="0" xfId="0" applyNumberFormat="1" applyFont="1" applyFill="1" applyAlignment="1">
      <alignment horizontal="left" vertical="top" shrinkToFit="1"/>
    </xf>
    <xf numFmtId="2" fontId="3" fillId="3" borderId="0" xfId="0" applyNumberFormat="1" applyFont="1" applyFill="1" applyAlignment="1">
      <alignment horizontal="right" vertical="top" shrinkToFit="1"/>
    </xf>
    <xf numFmtId="2" fontId="3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vertical="top" wrapText="1"/>
    </xf>
    <xf numFmtId="166" fontId="3" fillId="0" borderId="0" xfId="0" applyNumberFormat="1" applyFont="1" applyAlignment="1">
      <alignment horizontal="right" vertical="top" shrinkToFit="1"/>
    </xf>
    <xf numFmtId="167" fontId="2" fillId="3" borderId="0" xfId="0" applyNumberFormat="1" applyFont="1" applyFill="1" applyAlignment="1">
      <alignment vertical="top" wrapText="1"/>
    </xf>
    <xf numFmtId="167" fontId="3" fillId="3" borderId="0" xfId="0" applyNumberFormat="1" applyFont="1" applyFill="1" applyAlignment="1">
      <alignment horizontal="right" vertical="top" shrinkToFit="1"/>
    </xf>
    <xf numFmtId="165" fontId="2" fillId="4" borderId="0" xfId="0" applyNumberFormat="1" applyFont="1" applyFill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4" fontId="2" fillId="5" borderId="0" xfId="0" applyNumberFormat="1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2" fontId="2" fillId="3" borderId="0" xfId="0" applyNumberFormat="1" applyFont="1" applyFill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4" fontId="6" fillId="0" borderId="4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20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1311001</xdr:colOff>
      <xdr:row>1</xdr:row>
      <xdr:rowOff>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A95CE8C1-3738-4209-B15F-B8BA0B1E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1626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DDF0-12CA-41AA-907F-C3C1F5BA90E3}">
  <dimension ref="A1:AD74"/>
  <sheetViews>
    <sheetView tabSelected="1" zoomScale="70" zoomScaleNormal="70" workbookViewId="0">
      <pane ySplit="1" topLeftCell="A15" activePane="bottomLeft" state="frozen"/>
      <selection pane="bottomLeft" activeCell="J57" sqref="J57"/>
    </sheetView>
  </sheetViews>
  <sheetFormatPr defaultRowHeight="12.75" x14ac:dyDescent="0.2"/>
  <cols>
    <col min="1" max="1" width="21" customWidth="1"/>
    <col min="2" max="2" width="29.1640625" customWidth="1"/>
    <col min="3" max="3" width="20.83203125" customWidth="1"/>
    <col min="4" max="4" width="15.6640625" customWidth="1"/>
    <col min="5" max="7" width="29.83203125" customWidth="1"/>
    <col min="8" max="8" width="19.83203125" customWidth="1"/>
    <col min="9" max="9" width="23.1640625" customWidth="1"/>
    <col min="10" max="10" width="16.5" customWidth="1"/>
    <col min="11" max="11" width="18.6640625" customWidth="1"/>
    <col min="12" max="13" width="29.83203125" customWidth="1"/>
    <col min="14" max="14" width="19.33203125" customWidth="1"/>
    <col min="15" max="15" width="18.83203125" customWidth="1"/>
    <col min="16" max="19" width="33.83203125" customWidth="1"/>
    <col min="20" max="20" width="42" customWidth="1"/>
    <col min="21" max="21" width="5.83203125" customWidth="1"/>
    <col min="22" max="22" width="9.33203125" customWidth="1"/>
    <col min="23" max="23" width="18.6640625" customWidth="1"/>
    <col min="24" max="24" width="9.33203125" customWidth="1"/>
    <col min="25" max="25" width="48.1640625" customWidth="1"/>
    <col min="26" max="31" width="9.33203125" customWidth="1"/>
  </cols>
  <sheetData>
    <row r="1" spans="1:30" ht="45.75" customHeight="1" x14ac:dyDescent="0.2">
      <c r="A1" s="13" t="s">
        <v>4</v>
      </c>
      <c r="B1" s="11" t="s">
        <v>41</v>
      </c>
      <c r="C1" s="11" t="s">
        <v>45</v>
      </c>
      <c r="D1" s="8" t="s">
        <v>42</v>
      </c>
      <c r="E1" s="8" t="s">
        <v>7</v>
      </c>
      <c r="F1" s="8" t="s">
        <v>8</v>
      </c>
      <c r="G1" s="8" t="s">
        <v>47</v>
      </c>
      <c r="H1" s="8" t="s">
        <v>43</v>
      </c>
      <c r="I1" s="8" t="s">
        <v>44</v>
      </c>
      <c r="J1" s="8" t="s">
        <v>10</v>
      </c>
      <c r="K1" s="8" t="s">
        <v>12</v>
      </c>
      <c r="L1" s="8" t="s">
        <v>11</v>
      </c>
      <c r="M1" s="8" t="s">
        <v>13</v>
      </c>
      <c r="N1" s="13" t="s">
        <v>14</v>
      </c>
      <c r="O1" s="13" t="s">
        <v>27</v>
      </c>
      <c r="P1" s="13" t="s">
        <v>15</v>
      </c>
      <c r="Q1" s="13" t="s">
        <v>25</v>
      </c>
      <c r="R1" s="13" t="s">
        <v>16</v>
      </c>
      <c r="S1" s="14" t="s">
        <v>17</v>
      </c>
      <c r="T1" s="14" t="s">
        <v>18</v>
      </c>
      <c r="W1" s="5"/>
      <c r="AB1" s="10">
        <v>13352.01</v>
      </c>
      <c r="AC1" s="9" t="s">
        <v>19</v>
      </c>
      <c r="AD1" s="1" t="s">
        <v>16</v>
      </c>
    </row>
    <row r="2" spans="1:30" ht="18.95" customHeight="1" x14ac:dyDescent="0.2">
      <c r="A2" s="3">
        <v>686</v>
      </c>
      <c r="B2" s="51">
        <v>1</v>
      </c>
      <c r="C2" s="24">
        <v>13558.32</v>
      </c>
      <c r="D2" s="5">
        <f>C2</f>
        <v>13558.32</v>
      </c>
      <c r="E2" s="20">
        <v>13558.32</v>
      </c>
      <c r="F2" s="17">
        <f>E2-D2</f>
        <v>0</v>
      </c>
      <c r="G2" s="17"/>
      <c r="H2" s="28"/>
      <c r="I2" s="29"/>
      <c r="J2" s="18"/>
      <c r="K2" s="27">
        <f>E2/31.1</f>
        <v>435.95884244372985</v>
      </c>
      <c r="L2" s="27"/>
      <c r="M2" s="15"/>
      <c r="N2" s="44">
        <v>437.5</v>
      </c>
      <c r="O2" s="47">
        <f>C2/31.1</f>
        <v>435.95884244372985</v>
      </c>
      <c r="P2" s="30">
        <f t="shared" ref="P2:P24" si="0">N2-K2</f>
        <v>1.5411575562701501</v>
      </c>
      <c r="Q2" s="15"/>
      <c r="R2" s="1">
        <v>429.35</v>
      </c>
      <c r="S2" s="1"/>
      <c r="T2" s="16"/>
      <c r="W2" s="5"/>
      <c r="AB2" s="10">
        <v>429.35</v>
      </c>
      <c r="AC2" s="9" t="s">
        <v>20</v>
      </c>
      <c r="AD2" s="1" t="s">
        <v>16</v>
      </c>
    </row>
    <row r="3" spans="1:30" ht="18.95" customHeight="1" x14ac:dyDescent="0.2">
      <c r="A3" s="3">
        <v>45909</v>
      </c>
      <c r="B3" s="52"/>
      <c r="C3" s="24"/>
      <c r="D3" s="5">
        <f>D2+C3</f>
        <v>13558.32</v>
      </c>
      <c r="E3" s="20">
        <v>13407.35</v>
      </c>
      <c r="F3" s="17">
        <f t="shared" ref="F3:F9" si="1">(I3*1)-D3</f>
        <v>-391.75362999999925</v>
      </c>
      <c r="G3" s="17"/>
      <c r="H3" s="28">
        <v>13648.133400000001</v>
      </c>
      <c r="I3" s="28">
        <v>13166.56637</v>
      </c>
      <c r="J3" s="19">
        <f t="shared" ref="J3:J24" si="2">H3-I3</f>
        <v>481.56703000000016</v>
      </c>
      <c r="K3" s="27">
        <f t="shared" ref="K3:K9" si="3">H3/31.1</f>
        <v>438.84673311897109</v>
      </c>
      <c r="L3" s="27">
        <f t="shared" ref="L3:L10" si="4">I3/31.103</f>
        <v>423.32142783654308</v>
      </c>
      <c r="M3" s="15">
        <f>K3-L3</f>
        <v>15.525305282428008</v>
      </c>
      <c r="N3" s="44">
        <v>440.5</v>
      </c>
      <c r="O3" s="47"/>
      <c r="P3" s="30">
        <f>N3-K3</f>
        <v>1.6532668810289124</v>
      </c>
      <c r="Q3" s="30">
        <f t="shared" ref="Q3:Q20" si="5">N3-L3</f>
        <v>17.17857216345692</v>
      </c>
      <c r="R3" s="1"/>
      <c r="S3" s="1"/>
      <c r="T3" s="1"/>
      <c r="W3" s="5"/>
      <c r="Y3" s="12" t="s">
        <v>21</v>
      </c>
      <c r="AB3" s="10">
        <v>437.5</v>
      </c>
      <c r="AC3" s="9" t="s">
        <v>20</v>
      </c>
      <c r="AD3" s="1" t="s">
        <v>22</v>
      </c>
    </row>
    <row r="4" spans="1:30" ht="18.95" customHeight="1" x14ac:dyDescent="0.2">
      <c r="A4" s="3">
        <v>45910</v>
      </c>
      <c r="B4" s="52"/>
      <c r="C4" s="24"/>
      <c r="D4" s="5">
        <f>D3+C4</f>
        <v>13558.32</v>
      </c>
      <c r="E4" s="20">
        <v>13392.92</v>
      </c>
      <c r="F4" s="17">
        <f t="shared" si="1"/>
        <v>-391.75362999999925</v>
      </c>
      <c r="G4" s="17"/>
      <c r="H4" s="28">
        <v>13648.133400000001</v>
      </c>
      <c r="I4" s="29">
        <v>13166.56637</v>
      </c>
      <c r="J4" s="19">
        <f t="shared" si="2"/>
        <v>481.56703000000016</v>
      </c>
      <c r="K4" s="27">
        <f t="shared" si="3"/>
        <v>438.84673311897109</v>
      </c>
      <c r="L4" s="27">
        <f t="shared" si="4"/>
        <v>423.32142783654308</v>
      </c>
      <c r="M4" s="15">
        <f t="shared" ref="M4:M26" si="6">K4-L4</f>
        <v>15.525305282428008</v>
      </c>
      <c r="N4" s="44">
        <v>440</v>
      </c>
      <c r="O4" s="47"/>
      <c r="P4" s="30">
        <f t="shared" si="0"/>
        <v>1.1532668810289124</v>
      </c>
      <c r="Q4" s="30">
        <f t="shared" si="5"/>
        <v>16.67857216345692</v>
      </c>
      <c r="R4" s="1"/>
      <c r="S4" s="1"/>
      <c r="T4" s="6"/>
      <c r="W4" s="5"/>
    </row>
    <row r="5" spans="1:30" ht="18.95" customHeight="1" x14ac:dyDescent="0.2">
      <c r="A5" s="3">
        <v>45911</v>
      </c>
      <c r="B5" s="52"/>
      <c r="C5" s="24"/>
      <c r="D5" s="5">
        <f t="shared" ref="D5:D28" si="7">D4+C5</f>
        <v>13558.32</v>
      </c>
      <c r="E5" s="20">
        <v>13344.36</v>
      </c>
      <c r="F5" s="17">
        <f t="shared" si="1"/>
        <v>-391.75362999999925</v>
      </c>
      <c r="G5" s="17"/>
      <c r="H5" s="28">
        <v>13648.133400000001</v>
      </c>
      <c r="I5" s="29">
        <v>13166.56637</v>
      </c>
      <c r="J5" s="19">
        <f t="shared" si="2"/>
        <v>481.56703000000016</v>
      </c>
      <c r="K5" s="27">
        <f t="shared" si="3"/>
        <v>438.84673311897109</v>
      </c>
      <c r="L5" s="27">
        <f t="shared" si="4"/>
        <v>423.32142783654308</v>
      </c>
      <c r="M5" s="15">
        <f t="shared" si="6"/>
        <v>15.525305282428008</v>
      </c>
      <c r="N5" s="44">
        <v>437.5</v>
      </c>
      <c r="O5" s="47"/>
      <c r="P5" s="30">
        <f t="shared" si="0"/>
        <v>-1.3467331189710876</v>
      </c>
      <c r="Q5" s="30">
        <f t="shared" si="5"/>
        <v>14.17857216345692</v>
      </c>
      <c r="R5" s="1"/>
      <c r="S5" s="19">
        <v>148.38919999999999</v>
      </c>
      <c r="T5" s="19">
        <v>153.34774999999999</v>
      </c>
      <c r="W5" s="5"/>
    </row>
    <row r="6" spans="1:30" ht="18.95" customHeight="1" x14ac:dyDescent="0.2">
      <c r="A6" s="3">
        <v>45912</v>
      </c>
      <c r="B6" s="52"/>
      <c r="C6" s="24"/>
      <c r="D6" s="5">
        <f t="shared" si="7"/>
        <v>13558.32</v>
      </c>
      <c r="E6" s="20">
        <v>13399.45</v>
      </c>
      <c r="F6" s="17">
        <f t="shared" si="1"/>
        <v>-391.75362999999925</v>
      </c>
      <c r="G6" s="17"/>
      <c r="H6" s="28">
        <v>13648.133400000001</v>
      </c>
      <c r="I6" s="29">
        <v>13166.56637</v>
      </c>
      <c r="J6" s="19">
        <f t="shared" si="2"/>
        <v>481.56703000000016</v>
      </c>
      <c r="K6" s="27">
        <f t="shared" si="3"/>
        <v>438.84673311897109</v>
      </c>
      <c r="L6" s="27">
        <f t="shared" si="4"/>
        <v>423.32142783654308</v>
      </c>
      <c r="M6" s="15">
        <f t="shared" si="6"/>
        <v>15.525305282428008</v>
      </c>
      <c r="N6" s="44">
        <v>440</v>
      </c>
      <c r="O6" s="47"/>
      <c r="P6" s="30">
        <f t="shared" si="0"/>
        <v>1.1532668810289124</v>
      </c>
      <c r="Q6" s="30">
        <f t="shared" si="5"/>
        <v>16.67857216345692</v>
      </c>
      <c r="R6" s="1"/>
      <c r="S6" s="19">
        <v>148.38919999999999</v>
      </c>
      <c r="T6" s="19">
        <v>153.34774999999999</v>
      </c>
      <c r="W6" s="5"/>
    </row>
    <row r="7" spans="1:30" ht="18.95" customHeight="1" x14ac:dyDescent="0.2">
      <c r="A7" s="3">
        <v>45924</v>
      </c>
      <c r="B7" s="52"/>
      <c r="C7" s="24"/>
      <c r="D7" s="5">
        <f t="shared" si="7"/>
        <v>13558.32</v>
      </c>
      <c r="E7" s="20">
        <v>13828</v>
      </c>
      <c r="F7" s="17">
        <f t="shared" si="1"/>
        <v>29.833309999999983</v>
      </c>
      <c r="G7" s="17"/>
      <c r="H7" s="28">
        <v>14068.61844</v>
      </c>
      <c r="I7" s="29">
        <v>13588.15331</v>
      </c>
      <c r="J7" s="19">
        <f t="shared" si="2"/>
        <v>480.4651300000005</v>
      </c>
      <c r="K7" s="27">
        <f t="shared" si="3"/>
        <v>452.36715241157555</v>
      </c>
      <c r="L7" s="27">
        <f t="shared" si="4"/>
        <v>436.87597048516216</v>
      </c>
      <c r="M7" s="15">
        <f t="shared" si="6"/>
        <v>15.49118192641339</v>
      </c>
      <c r="N7" s="44">
        <v>456</v>
      </c>
      <c r="O7" s="47"/>
      <c r="P7" s="26">
        <f t="shared" si="0"/>
        <v>3.632847588424454</v>
      </c>
      <c r="Q7" s="1">
        <f t="shared" si="5"/>
        <v>19.124029514837844</v>
      </c>
      <c r="R7" s="1"/>
      <c r="S7" s="19">
        <v>164.48025000000001</v>
      </c>
      <c r="T7" s="5">
        <v>159.54263</v>
      </c>
      <c r="W7" s="5"/>
    </row>
    <row r="8" spans="1:30" ht="18.95" customHeight="1" x14ac:dyDescent="0.2">
      <c r="A8" s="3" t="s">
        <v>23</v>
      </c>
      <c r="B8" s="52"/>
      <c r="C8" s="24"/>
      <c r="D8" s="5">
        <f t="shared" si="7"/>
        <v>13558.32</v>
      </c>
      <c r="E8" s="20">
        <v>13792.87</v>
      </c>
      <c r="F8" s="17">
        <f t="shared" si="1"/>
        <v>-5.2071099999993748</v>
      </c>
      <c r="G8" s="17"/>
      <c r="H8" s="28">
        <v>14032.62304</v>
      </c>
      <c r="I8" s="29">
        <v>13553.11289</v>
      </c>
      <c r="J8" s="19">
        <f t="shared" si="2"/>
        <v>479.51015000000007</v>
      </c>
      <c r="K8" s="27">
        <f t="shared" si="3"/>
        <v>451.20974405144693</v>
      </c>
      <c r="L8" s="27">
        <f t="shared" si="4"/>
        <v>435.7493775520046</v>
      </c>
      <c r="M8" s="15">
        <f t="shared" si="6"/>
        <v>15.46036649944233</v>
      </c>
      <c r="N8" s="44">
        <v>453.25</v>
      </c>
      <c r="O8" s="47"/>
      <c r="P8" s="26">
        <f t="shared" si="0"/>
        <v>2.0402559485530674</v>
      </c>
      <c r="Q8" s="1">
        <f t="shared" si="5"/>
        <v>17.500622447995397</v>
      </c>
      <c r="R8" s="1"/>
      <c r="S8" s="5">
        <v>164.16399999999999</v>
      </c>
      <c r="T8" s="19">
        <v>168.99619999999999</v>
      </c>
      <c r="W8" s="5"/>
    </row>
    <row r="9" spans="1:30" ht="18.95" customHeight="1" x14ac:dyDescent="0.2">
      <c r="A9" s="3">
        <v>45932</v>
      </c>
      <c r="B9" s="52"/>
      <c r="C9" s="24"/>
      <c r="D9" s="5">
        <f t="shared" si="7"/>
        <v>13558.32</v>
      </c>
      <c r="E9" s="20">
        <v>14260.64</v>
      </c>
      <c r="F9" s="17">
        <f t="shared" si="1"/>
        <v>656.77768000000106</v>
      </c>
      <c r="G9" s="17"/>
      <c r="H9" s="28">
        <v>14336.453600000001</v>
      </c>
      <c r="I9" s="29">
        <v>14215.097680000001</v>
      </c>
      <c r="J9" s="19">
        <f t="shared" si="2"/>
        <v>121.35591999999997</v>
      </c>
      <c r="K9" s="27">
        <f t="shared" si="3"/>
        <v>460.97921543408359</v>
      </c>
      <c r="L9" s="27">
        <f t="shared" si="4"/>
        <v>457.03300903449826</v>
      </c>
      <c r="M9" s="15">
        <f t="shared" si="6"/>
        <v>3.9462063995853214</v>
      </c>
      <c r="N9" s="44">
        <v>467.25</v>
      </c>
      <c r="O9" s="47"/>
      <c r="P9" s="26">
        <f t="shared" si="0"/>
        <v>6.270784565916415</v>
      </c>
      <c r="Q9" s="1">
        <f t="shared" si="5"/>
        <v>10.216990965501736</v>
      </c>
      <c r="R9" s="1"/>
      <c r="S9" s="1"/>
      <c r="T9" s="5"/>
      <c r="W9" s="5"/>
    </row>
    <row r="10" spans="1:30" ht="18.95" customHeight="1" x14ac:dyDescent="0.2">
      <c r="A10" s="3">
        <v>45938</v>
      </c>
      <c r="B10" s="52"/>
      <c r="C10" s="24"/>
      <c r="D10" s="5">
        <f t="shared" si="7"/>
        <v>13558.32</v>
      </c>
      <c r="E10" s="20">
        <v>14826.34</v>
      </c>
      <c r="F10" s="17">
        <f>(I10*1)-D10</f>
        <v>1217.0938299999998</v>
      </c>
      <c r="G10" s="17"/>
      <c r="H10" s="28">
        <v>14897.02686</v>
      </c>
      <c r="I10" s="29">
        <v>14775.41383</v>
      </c>
      <c r="J10" s="19">
        <f t="shared" si="2"/>
        <v>121.61303000000044</v>
      </c>
      <c r="K10" s="27">
        <f>H10/31.103</f>
        <v>478.95787737517281</v>
      </c>
      <c r="L10" s="27">
        <f t="shared" si="4"/>
        <v>475.04786772980094</v>
      </c>
      <c r="M10" s="15">
        <f t="shared" si="6"/>
        <v>3.910009645371872</v>
      </c>
      <c r="N10" s="44">
        <v>485.25</v>
      </c>
      <c r="O10" s="47"/>
      <c r="P10" s="26">
        <f t="shared" si="0"/>
        <v>6.2921226248271864</v>
      </c>
      <c r="Q10" s="1">
        <f t="shared" si="5"/>
        <v>10.202132270199058</v>
      </c>
      <c r="R10" s="1"/>
      <c r="S10" s="1"/>
      <c r="T10" s="5"/>
      <c r="W10" s="5"/>
    </row>
    <row r="11" spans="1:30" ht="18.95" customHeight="1" x14ac:dyDescent="0.2">
      <c r="A11" s="3" t="s">
        <v>26</v>
      </c>
      <c r="B11" s="52">
        <v>1</v>
      </c>
      <c r="C11" s="24">
        <v>14733.58</v>
      </c>
      <c r="D11" s="5">
        <f t="shared" si="7"/>
        <v>28291.9</v>
      </c>
      <c r="E11" s="24">
        <v>29345.91</v>
      </c>
      <c r="F11" s="17">
        <f t="shared" ref="F11:F16" si="8">(I11*2)-D11</f>
        <v>959.72508000000016</v>
      </c>
      <c r="G11" s="19"/>
      <c r="H11" s="29">
        <v>14749.592640000001</v>
      </c>
      <c r="I11" s="29">
        <v>14625.812540000001</v>
      </c>
      <c r="J11" s="19">
        <f t="shared" si="2"/>
        <v>123.78009999999995</v>
      </c>
      <c r="K11" s="27">
        <f>H11/31.1</f>
        <v>474.26342893890677</v>
      </c>
      <c r="L11" s="27">
        <f>I11/31.1</f>
        <v>470.28336141479099</v>
      </c>
      <c r="M11" s="15">
        <f t="shared" si="6"/>
        <v>3.9800675241157819</v>
      </c>
      <c r="N11" s="44">
        <v>481.5</v>
      </c>
      <c r="O11" s="47">
        <f>C11/31.1</f>
        <v>473.74855305466235</v>
      </c>
      <c r="P11" s="26">
        <f t="shared" si="0"/>
        <v>7.2365710610932297</v>
      </c>
      <c r="Q11" s="1">
        <f t="shared" si="5"/>
        <v>11.216638585209012</v>
      </c>
      <c r="R11" s="1"/>
      <c r="S11" s="1"/>
      <c r="T11" s="5"/>
      <c r="W11" s="5"/>
    </row>
    <row r="12" spans="1:30" ht="18.95" customHeight="1" x14ac:dyDescent="0.2">
      <c r="A12" s="3" t="s">
        <v>29</v>
      </c>
      <c r="B12" s="52"/>
      <c r="C12" s="24"/>
      <c r="D12" s="5">
        <f t="shared" si="7"/>
        <v>28291.9</v>
      </c>
      <c r="E12" s="20">
        <v>29909.200000000001</v>
      </c>
      <c r="F12" s="17">
        <f t="shared" si="8"/>
        <v>1493.4854399999967</v>
      </c>
      <c r="G12" s="17"/>
      <c r="H12" s="28">
        <v>15016.509550000001</v>
      </c>
      <c r="I12" s="29">
        <v>14892.692719999999</v>
      </c>
      <c r="J12" s="19">
        <f t="shared" si="2"/>
        <v>123.81683000000157</v>
      </c>
      <c r="K12" s="27">
        <f t="shared" ref="K12:L19" si="9">H12/31.103</f>
        <v>482.79939394913674</v>
      </c>
      <c r="L12" s="27">
        <f t="shared" si="9"/>
        <v>478.8185294023084</v>
      </c>
      <c r="M12" s="15">
        <f t="shared" si="6"/>
        <v>3.980864546828343</v>
      </c>
      <c r="N12" s="44">
        <v>490.5</v>
      </c>
      <c r="O12" s="47"/>
      <c r="P12" s="26">
        <f t="shared" si="0"/>
        <v>7.7006060508632572</v>
      </c>
      <c r="Q12" s="1">
        <f t="shared" si="5"/>
        <v>11.6814705976916</v>
      </c>
      <c r="R12" s="1"/>
      <c r="S12" s="1"/>
      <c r="T12" s="5"/>
      <c r="W12" s="5"/>
    </row>
    <row r="13" spans="1:30" ht="18.95" customHeight="1" x14ac:dyDescent="0.2">
      <c r="A13" s="3"/>
      <c r="B13" s="52"/>
      <c r="C13" s="24"/>
      <c r="D13" s="5">
        <f t="shared" si="7"/>
        <v>28291.9</v>
      </c>
      <c r="E13" s="21">
        <v>31609.47</v>
      </c>
      <c r="F13" s="17">
        <f t="shared" si="8"/>
        <v>2835.3792599999979</v>
      </c>
      <c r="G13" s="19"/>
      <c r="H13" s="29">
        <v>16045.83107</v>
      </c>
      <c r="I13" s="29">
        <v>15563.63963</v>
      </c>
      <c r="J13" s="19">
        <f t="shared" si="2"/>
        <v>482.19144000000051</v>
      </c>
      <c r="K13" s="27">
        <f t="shared" si="9"/>
        <v>515.89335658939649</v>
      </c>
      <c r="L13" s="27">
        <f t="shared" si="9"/>
        <v>500.390304150725</v>
      </c>
      <c r="M13" s="15">
        <f t="shared" si="6"/>
        <v>15.503052438671489</v>
      </c>
      <c r="N13" s="44">
        <v>512.25</v>
      </c>
      <c r="O13" s="47"/>
      <c r="P13" s="26">
        <f t="shared" si="0"/>
        <v>-3.6433565893964897</v>
      </c>
      <c r="Q13" s="1">
        <f t="shared" si="5"/>
        <v>11.859695849274999</v>
      </c>
      <c r="R13" s="1"/>
      <c r="S13" s="1"/>
      <c r="T13" s="5"/>
      <c r="W13" s="5"/>
    </row>
    <row r="14" spans="1:30" ht="18.95" customHeight="1" x14ac:dyDescent="0.2">
      <c r="A14" s="3" t="s">
        <v>30</v>
      </c>
      <c r="B14" s="52"/>
      <c r="C14" s="24"/>
      <c r="D14" s="5">
        <f t="shared" si="7"/>
        <v>28291.9</v>
      </c>
      <c r="E14" s="22">
        <v>29205.71</v>
      </c>
      <c r="F14" s="17">
        <f t="shared" si="8"/>
        <v>431.91497999999774</v>
      </c>
      <c r="G14" s="19"/>
      <c r="H14" s="29">
        <v>14843.80509</v>
      </c>
      <c r="I14" s="29">
        <v>14361.90749</v>
      </c>
      <c r="J14" s="19">
        <f t="shared" si="2"/>
        <v>481.89760000000024</v>
      </c>
      <c r="K14" s="27">
        <f t="shared" si="9"/>
        <v>477.2467315049995</v>
      </c>
      <c r="L14" s="27">
        <f t="shared" si="9"/>
        <v>461.75312638652218</v>
      </c>
      <c r="M14" s="15">
        <f t="shared" si="6"/>
        <v>15.493605118477319</v>
      </c>
      <c r="N14" s="44">
        <v>481.5</v>
      </c>
      <c r="O14" s="47"/>
      <c r="P14" s="26">
        <f t="shared" si="0"/>
        <v>4.2532684950004978</v>
      </c>
      <c r="Q14" s="1">
        <f t="shared" si="5"/>
        <v>19.746873613477817</v>
      </c>
      <c r="R14" s="1"/>
      <c r="S14" s="1"/>
      <c r="T14" s="6"/>
      <c r="W14" s="5"/>
    </row>
    <row r="15" spans="1:30" ht="18.95" customHeight="1" x14ac:dyDescent="0.2">
      <c r="A15" s="3" t="s">
        <v>31</v>
      </c>
      <c r="B15" s="52"/>
      <c r="C15" s="24"/>
      <c r="D15" s="5">
        <f t="shared" si="7"/>
        <v>28291.9</v>
      </c>
      <c r="E15" s="22">
        <v>33002.239999999998</v>
      </c>
      <c r="F15" s="17">
        <f t="shared" si="8"/>
        <v>3777.5926399999989</v>
      </c>
      <c r="G15" s="19"/>
      <c r="H15" s="29">
        <v>16967.489249999999</v>
      </c>
      <c r="I15" s="29">
        <v>16034.74632</v>
      </c>
      <c r="J15" s="19">
        <f t="shared" si="2"/>
        <v>932.74292999999852</v>
      </c>
      <c r="K15" s="27">
        <f t="shared" si="9"/>
        <v>545.52580940745258</v>
      </c>
      <c r="L15" s="27">
        <f t="shared" si="9"/>
        <v>515.53696813812167</v>
      </c>
      <c r="M15" s="15">
        <f t="shared" si="6"/>
        <v>29.988841269330919</v>
      </c>
      <c r="N15" s="44"/>
      <c r="O15" s="47"/>
      <c r="P15" s="26">
        <f t="shared" si="0"/>
        <v>-545.52580940745258</v>
      </c>
      <c r="Q15" s="1">
        <f t="shared" si="5"/>
        <v>-515.53696813812167</v>
      </c>
      <c r="R15" s="1"/>
      <c r="S15" s="1"/>
      <c r="T15" s="5"/>
      <c r="W15" s="5"/>
    </row>
    <row r="16" spans="1:30" ht="18.95" customHeight="1" x14ac:dyDescent="0.2">
      <c r="A16" s="3" t="s">
        <v>35</v>
      </c>
      <c r="B16" s="52"/>
      <c r="C16" s="24"/>
      <c r="D16" s="5">
        <f t="shared" si="7"/>
        <v>28291.9</v>
      </c>
      <c r="E16" s="22">
        <v>33689.78</v>
      </c>
      <c r="F16" s="17">
        <f t="shared" si="8"/>
        <v>5084.787639999995</v>
      </c>
      <c r="G16" s="19"/>
      <c r="H16" s="29">
        <v>17001.439149999998</v>
      </c>
      <c r="I16" s="29">
        <v>16688.343819999998</v>
      </c>
      <c r="J16" s="19">
        <f t="shared" si="2"/>
        <v>313.0953300000001</v>
      </c>
      <c r="K16" s="27">
        <f t="shared" si="9"/>
        <v>546.61734077098663</v>
      </c>
      <c r="L16" s="27">
        <f t="shared" si="9"/>
        <v>536.55093785165411</v>
      </c>
      <c r="M16" s="15">
        <f t="shared" si="6"/>
        <v>10.066402919332518</v>
      </c>
      <c r="N16" s="44">
        <v>554</v>
      </c>
      <c r="O16" s="47"/>
      <c r="P16" s="26">
        <f t="shared" si="0"/>
        <v>7.3826592290133704</v>
      </c>
      <c r="Q16" s="1">
        <f t="shared" si="5"/>
        <v>17.449062148345888</v>
      </c>
      <c r="R16" s="1"/>
      <c r="S16" s="1"/>
      <c r="T16" s="5"/>
      <c r="W16" s="5"/>
    </row>
    <row r="17" spans="1:23" ht="18.95" customHeight="1" x14ac:dyDescent="0.2">
      <c r="A17" s="3" t="s">
        <v>37</v>
      </c>
      <c r="B17" s="52"/>
      <c r="C17" s="24"/>
      <c r="D17" s="5">
        <f t="shared" si="7"/>
        <v>28291.9</v>
      </c>
      <c r="E17" s="22">
        <v>33689.78</v>
      </c>
      <c r="F17" s="17">
        <f>(I17*2)-D17</f>
        <v>4548.1880400000009</v>
      </c>
      <c r="G17" s="19"/>
      <c r="H17" s="29">
        <v>17353.15425</v>
      </c>
      <c r="I17" s="29">
        <v>16420.044020000001</v>
      </c>
      <c r="J17" s="19">
        <f t="shared" si="2"/>
        <v>933.11022999999841</v>
      </c>
      <c r="K17" s="27">
        <f t="shared" si="9"/>
        <v>557.92541716233154</v>
      </c>
      <c r="L17" s="27">
        <f t="shared" si="9"/>
        <v>527.92476674275792</v>
      </c>
      <c r="M17" s="15">
        <f t="shared" si="6"/>
        <v>30.000650419573617</v>
      </c>
      <c r="N17" s="44">
        <v>550</v>
      </c>
      <c r="O17" s="47"/>
      <c r="P17" s="26">
        <f t="shared" si="0"/>
        <v>-7.9254171623315415</v>
      </c>
      <c r="Q17" s="1">
        <f t="shared" si="5"/>
        <v>22.075233257242076</v>
      </c>
      <c r="R17" s="1"/>
      <c r="S17" s="1"/>
      <c r="T17" s="6"/>
      <c r="W17" s="5"/>
    </row>
    <row r="18" spans="1:23" ht="18.95" customHeight="1" x14ac:dyDescent="0.2">
      <c r="A18" s="3" t="s">
        <v>38</v>
      </c>
      <c r="B18" s="52">
        <v>1.03</v>
      </c>
      <c r="C18" s="24">
        <v>17286</v>
      </c>
      <c r="D18" s="5">
        <f t="shared" si="7"/>
        <v>45577.9</v>
      </c>
      <c r="E18" s="22">
        <v>51409.64</v>
      </c>
      <c r="F18" s="17">
        <f t="shared" ref="F18:F20" si="10">(I18*3.03)-D18</f>
        <v>5851.6528636999938</v>
      </c>
      <c r="G18" s="19"/>
      <c r="H18" s="29">
        <v>17285.649649999999</v>
      </c>
      <c r="I18" s="29">
        <v>16973.449789999999</v>
      </c>
      <c r="J18" s="19">
        <f t="shared" si="2"/>
        <v>312.19986000000063</v>
      </c>
      <c r="K18" s="27">
        <f t="shared" si="9"/>
        <v>555.75506060508633</v>
      </c>
      <c r="L18" s="27">
        <f t="shared" si="9"/>
        <v>545.71744815612635</v>
      </c>
      <c r="M18" s="15">
        <f t="shared" si="6"/>
        <v>10.037612448959976</v>
      </c>
      <c r="N18" s="44">
        <v>562</v>
      </c>
      <c r="O18" s="47">
        <f>C18/31.1</f>
        <v>555.81993569131828</v>
      </c>
      <c r="P18" s="26">
        <f t="shared" si="0"/>
        <v>6.244939394913672</v>
      </c>
      <c r="Q18" s="1">
        <f t="shared" si="5"/>
        <v>16.282551843873648</v>
      </c>
      <c r="R18" s="1"/>
      <c r="S18" s="1"/>
      <c r="T18" s="5"/>
      <c r="W18" s="5"/>
    </row>
    <row r="19" spans="1:23" ht="18.95" customHeight="1" x14ac:dyDescent="0.2">
      <c r="A19" s="3" t="s">
        <v>39</v>
      </c>
      <c r="B19" s="52"/>
      <c r="C19" s="24"/>
      <c r="D19" s="5">
        <f t="shared" si="7"/>
        <v>45577.9</v>
      </c>
      <c r="E19" s="22">
        <v>53614.65</v>
      </c>
      <c r="F19" s="17">
        <f t="shared" si="10"/>
        <v>8106.0928819999899</v>
      </c>
      <c r="G19" s="19"/>
      <c r="H19" s="29">
        <v>18029.983100000001</v>
      </c>
      <c r="I19" s="29">
        <v>17717.489399999999</v>
      </c>
      <c r="J19" s="19">
        <f t="shared" si="2"/>
        <v>312.49370000000272</v>
      </c>
      <c r="K19" s="27">
        <f t="shared" si="9"/>
        <v>579.68630357200266</v>
      </c>
      <c r="L19" s="27">
        <f t="shared" si="9"/>
        <v>569.63924380284857</v>
      </c>
      <c r="M19" s="15">
        <f t="shared" si="6"/>
        <v>10.047059769154089</v>
      </c>
      <c r="N19" s="44">
        <v>586.25</v>
      </c>
      <c r="O19" s="47"/>
      <c r="P19" s="26">
        <f t="shared" si="0"/>
        <v>6.5636964279973427</v>
      </c>
      <c r="Q19" s="1">
        <f t="shared" si="5"/>
        <v>16.610756197151431</v>
      </c>
      <c r="R19" s="1"/>
      <c r="S19" s="1"/>
      <c r="T19" s="5"/>
      <c r="W19" s="6"/>
    </row>
    <row r="20" spans="1:23" ht="18.95" customHeight="1" x14ac:dyDescent="0.2">
      <c r="A20" s="3" t="s">
        <v>39</v>
      </c>
      <c r="B20" s="52"/>
      <c r="C20" s="24"/>
      <c r="D20" s="5">
        <f t="shared" si="7"/>
        <v>45577.9</v>
      </c>
      <c r="E20" s="22">
        <v>54468.4</v>
      </c>
      <c r="F20" s="17">
        <f t="shared" si="10"/>
        <v>4979.6040469999934</v>
      </c>
      <c r="G20" s="19"/>
      <c r="H20" s="29">
        <v>17618.098389999999</v>
      </c>
      <c r="I20" s="29">
        <v>16685.644899999999</v>
      </c>
      <c r="J20" s="19">
        <f t="shared" si="2"/>
        <v>932.45348999999987</v>
      </c>
      <c r="K20" s="27">
        <f t="shared" ref="K20:L24" si="11">H20/31.103</f>
        <v>566.44369964312114</v>
      </c>
      <c r="L20" s="27">
        <f t="shared" si="11"/>
        <v>536.46416422853099</v>
      </c>
      <c r="M20" s="15">
        <f t="shared" si="6"/>
        <v>29.979535414590146</v>
      </c>
      <c r="N20" s="44">
        <v>580.5</v>
      </c>
      <c r="O20" s="47"/>
      <c r="P20" s="26">
        <f t="shared" si="0"/>
        <v>14.056300356878864</v>
      </c>
      <c r="Q20" s="1">
        <f t="shared" si="5"/>
        <v>44.03583577146901</v>
      </c>
      <c r="R20" s="1"/>
      <c r="S20" s="1"/>
      <c r="T20" s="5"/>
      <c r="W20" s="5"/>
    </row>
    <row r="21" spans="1:23" ht="18.95" customHeight="1" x14ac:dyDescent="0.2">
      <c r="A21" s="3" t="s">
        <v>54</v>
      </c>
      <c r="B21" s="52"/>
      <c r="C21" s="24"/>
      <c r="D21" s="5">
        <f t="shared" si="7"/>
        <v>45577.9</v>
      </c>
      <c r="E21" s="22">
        <v>54468.4</v>
      </c>
      <c r="F21" s="17">
        <f>(I21*3.03)-D21</f>
        <v>8025.4218286999967</v>
      </c>
      <c r="G21" s="19"/>
      <c r="H21" s="29">
        <v>18621.404419999999</v>
      </c>
      <c r="I21" s="29">
        <v>17690.865290000002</v>
      </c>
      <c r="J21" s="19">
        <f t="shared" si="2"/>
        <v>930.53912999999739</v>
      </c>
      <c r="K21" s="27">
        <f t="shared" si="11"/>
        <v>598.70123203549485</v>
      </c>
      <c r="L21" s="27">
        <f t="shared" si="11"/>
        <v>568.78324566762046</v>
      </c>
      <c r="M21" s="15">
        <f t="shared" si="6"/>
        <v>29.917986367874391</v>
      </c>
      <c r="N21" s="44">
        <v>601</v>
      </c>
      <c r="O21" s="47"/>
      <c r="P21" s="26">
        <f t="shared" si="0"/>
        <v>2.2987679645051458</v>
      </c>
      <c r="Q21" s="16">
        <f t="shared" ref="Q21:Q26" si="12">N21-L21</f>
        <v>32.216754332379537</v>
      </c>
      <c r="R21" s="1"/>
      <c r="S21" s="1"/>
      <c r="T21" s="5"/>
      <c r="W21" s="5"/>
    </row>
    <row r="22" spans="1:23" ht="18.95" customHeight="1" x14ac:dyDescent="0.2">
      <c r="A22" s="3" t="s">
        <v>46</v>
      </c>
      <c r="B22" s="52">
        <v>1</v>
      </c>
      <c r="C22" s="24">
        <v>19106</v>
      </c>
      <c r="D22" s="5">
        <f t="shared" si="7"/>
        <v>64683.9</v>
      </c>
      <c r="E22" s="22">
        <v>74561.679999999993</v>
      </c>
      <c r="F22" s="17">
        <f t="shared" ref="F22:F31" si="13">(I22*4.03)-D22</f>
        <v>8559.1434540999981</v>
      </c>
      <c r="G22" s="19">
        <f>I22*4</f>
        <v>72697.809880000001</v>
      </c>
      <c r="H22" s="29">
        <v>19106.387340000001</v>
      </c>
      <c r="I22" s="29">
        <v>18174.45247</v>
      </c>
      <c r="J22" s="19">
        <f t="shared" si="2"/>
        <v>931.93487000000096</v>
      </c>
      <c r="K22" s="27">
        <f t="shared" si="11"/>
        <v>614.29403401601132</v>
      </c>
      <c r="L22" s="27">
        <f t="shared" si="11"/>
        <v>584.33117287721439</v>
      </c>
      <c r="M22" s="15">
        <f t="shared" si="6"/>
        <v>29.962861138796939</v>
      </c>
      <c r="N22" s="44">
        <v>610</v>
      </c>
      <c r="O22" s="47">
        <f>C22/31.1</f>
        <v>614.3408360128617</v>
      </c>
      <c r="P22" s="26">
        <f t="shared" si="0"/>
        <v>-4.2940340160113237</v>
      </c>
      <c r="Q22" s="16">
        <f t="shared" si="12"/>
        <v>25.668827122785615</v>
      </c>
      <c r="R22" s="1"/>
      <c r="S22" s="1"/>
      <c r="T22" s="5"/>
      <c r="W22" s="5"/>
    </row>
    <row r="23" spans="1:23" ht="18.95" customHeight="1" x14ac:dyDescent="0.2">
      <c r="A23" s="3" t="s">
        <v>53</v>
      </c>
      <c r="B23" s="52"/>
      <c r="C23" s="24"/>
      <c r="D23" s="5">
        <f t="shared" si="7"/>
        <v>64683.9</v>
      </c>
      <c r="E23" s="22">
        <v>74736.37</v>
      </c>
      <c r="F23" s="17">
        <f t="shared" si="13"/>
        <v>8734.2533618000089</v>
      </c>
      <c r="G23" s="19"/>
      <c r="H23" s="29">
        <v>19150.279689999999</v>
      </c>
      <c r="I23" s="29">
        <v>18217.904060000001</v>
      </c>
      <c r="J23" s="19">
        <f t="shared" si="2"/>
        <v>932.37562999999864</v>
      </c>
      <c r="K23" s="27">
        <f t="shared" si="11"/>
        <v>615.70522747001894</v>
      </c>
      <c r="L23" s="27">
        <f t="shared" si="11"/>
        <v>585.72819535093072</v>
      </c>
      <c r="M23" s="15">
        <f t="shared" si="6"/>
        <v>29.977032119088221</v>
      </c>
      <c r="N23" s="44">
        <v>613</v>
      </c>
      <c r="O23" s="44"/>
      <c r="P23" s="26">
        <f t="shared" si="0"/>
        <v>-2.70522747001894</v>
      </c>
      <c r="Q23" s="1">
        <f t="shared" si="12"/>
        <v>27.271804649069281</v>
      </c>
      <c r="R23" s="1"/>
      <c r="S23" s="1"/>
      <c r="T23" s="5"/>
      <c r="W23" s="5"/>
    </row>
    <row r="24" spans="1:23" ht="18.95" customHeight="1" x14ac:dyDescent="0.2">
      <c r="A24" s="3" t="s">
        <v>55</v>
      </c>
      <c r="B24" s="52"/>
      <c r="C24" s="24"/>
      <c r="D24" s="5">
        <f t="shared" si="7"/>
        <v>64683.9</v>
      </c>
      <c r="E24" s="22">
        <v>77635.23</v>
      </c>
      <c r="F24" s="17">
        <f t="shared" si="13"/>
        <v>11214.307019699998</v>
      </c>
      <c r="G24" s="19"/>
      <c r="H24" s="29">
        <v>19984.311099999999</v>
      </c>
      <c r="I24" s="29">
        <v>18833.30199</v>
      </c>
      <c r="J24" s="19">
        <f t="shared" si="2"/>
        <v>1151.0091099999991</v>
      </c>
      <c r="K24" s="27">
        <f t="shared" si="11"/>
        <v>642.52037102530301</v>
      </c>
      <c r="L24" s="27">
        <f t="shared" si="11"/>
        <v>605.5140015432595</v>
      </c>
      <c r="M24" s="15">
        <f t="shared" si="6"/>
        <v>37.00636948204351</v>
      </c>
      <c r="N24" s="44">
        <v>634.75</v>
      </c>
      <c r="O24" s="44"/>
      <c r="P24" s="26">
        <f t="shared" si="0"/>
        <v>-7.7703710253030067</v>
      </c>
      <c r="Q24" s="1">
        <f t="shared" si="12"/>
        <v>29.235998456740504</v>
      </c>
      <c r="R24" s="1"/>
      <c r="S24" s="1"/>
      <c r="T24" s="5"/>
      <c r="W24" s="5"/>
    </row>
    <row r="25" spans="1:23" ht="18.95" customHeight="1" x14ac:dyDescent="0.2">
      <c r="A25" s="3" t="s">
        <v>56</v>
      </c>
      <c r="B25" s="52"/>
      <c r="C25" s="24"/>
      <c r="D25" s="5">
        <f t="shared" si="7"/>
        <v>64683.9</v>
      </c>
      <c r="E25" s="56">
        <f>I25*4</f>
        <v>78837.207999999999</v>
      </c>
      <c r="F25" s="80">
        <f t="shared" si="13"/>
        <v>14744.587059999998</v>
      </c>
      <c r="G25" s="19">
        <f>I25*4</f>
        <v>78837.207999999999</v>
      </c>
      <c r="H25" s="57">
        <v>20839.0154</v>
      </c>
      <c r="I25" s="57">
        <v>19709.302</v>
      </c>
      <c r="J25" s="19">
        <f t="shared" ref="J25:J26" si="14">H25-I25</f>
        <v>1129.7134000000005</v>
      </c>
      <c r="K25" s="27">
        <f t="shared" ref="K25:K26" si="15">H25/31.103</f>
        <v>670.0001736166929</v>
      </c>
      <c r="L25" s="27">
        <f t="shared" ref="L25:L26" si="16">I25/31.103</f>
        <v>633.67848760569711</v>
      </c>
      <c r="M25" s="15">
        <f t="shared" si="6"/>
        <v>36.321686010995791</v>
      </c>
      <c r="N25" s="1">
        <v>664</v>
      </c>
      <c r="O25" s="44"/>
      <c r="P25" s="26">
        <f t="shared" ref="P25:P26" si="17">N25-K25</f>
        <v>-6.0001736166929049</v>
      </c>
      <c r="Q25" s="1">
        <f t="shared" si="12"/>
        <v>30.321512394302886</v>
      </c>
      <c r="R25" s="1"/>
      <c r="S25" s="1"/>
      <c r="T25" s="6"/>
      <c r="W25" s="5"/>
    </row>
    <row r="26" spans="1:23" ht="18.95" customHeight="1" x14ac:dyDescent="0.2">
      <c r="A26" s="3" t="s">
        <v>57</v>
      </c>
      <c r="B26" s="52"/>
      <c r="C26" s="24"/>
      <c r="D26" s="5">
        <f t="shared" si="7"/>
        <v>64683.9</v>
      </c>
      <c r="E26" s="22">
        <v>75378.3</v>
      </c>
      <c r="F26" s="17">
        <f t="shared" si="13"/>
        <v>8381.4861028000087</v>
      </c>
      <c r="G26" s="19">
        <f>I26*4</f>
        <v>72521.475040000005</v>
      </c>
      <c r="H26" s="29">
        <v>19278.217990000001</v>
      </c>
      <c r="I26" s="29">
        <v>18130.368760000001</v>
      </c>
      <c r="J26" s="19">
        <f t="shared" si="14"/>
        <v>1147.8492299999998</v>
      </c>
      <c r="K26" s="27">
        <f t="shared" si="15"/>
        <v>619.81860238562194</v>
      </c>
      <c r="L26" s="27">
        <f t="shared" si="16"/>
        <v>582.91382696202936</v>
      </c>
      <c r="M26" s="15">
        <f t="shared" si="6"/>
        <v>36.904775423592582</v>
      </c>
      <c r="N26" s="1">
        <v>602</v>
      </c>
      <c r="O26" s="44"/>
      <c r="P26" s="26">
        <f t="shared" si="17"/>
        <v>-17.818602385621944</v>
      </c>
      <c r="Q26" s="1">
        <f t="shared" si="12"/>
        <v>19.086173037970639</v>
      </c>
      <c r="R26" s="1"/>
      <c r="S26" s="1"/>
      <c r="T26" s="5"/>
      <c r="W26" s="5"/>
    </row>
    <row r="27" spans="1:23" ht="18.75" customHeight="1" x14ac:dyDescent="0.2">
      <c r="A27" s="3" t="s">
        <v>58</v>
      </c>
      <c r="B27" s="52"/>
      <c r="C27" s="24"/>
      <c r="D27" s="5">
        <f t="shared" si="7"/>
        <v>64683.9</v>
      </c>
      <c r="E27" s="22">
        <v>75378.3</v>
      </c>
      <c r="F27" s="17">
        <f t="shared" si="13"/>
        <v>-203.89999999999418</v>
      </c>
      <c r="G27" s="2"/>
      <c r="H27" s="29">
        <v>19278.217990000001</v>
      </c>
      <c r="I27" s="28">
        <v>16000</v>
      </c>
      <c r="J27" s="19">
        <f t="shared" ref="J27:J28" si="18">H27-I27</f>
        <v>3278.217990000001</v>
      </c>
      <c r="K27" s="27">
        <f t="shared" ref="K27:K28" si="19">H27/31.103</f>
        <v>619.81860238562194</v>
      </c>
      <c r="L27" s="27">
        <f t="shared" ref="L27:L28" si="20">I27/31.103</f>
        <v>514.41983088448058</v>
      </c>
      <c r="M27" s="15">
        <f t="shared" ref="M27:M28" si="21">K27-L27</f>
        <v>105.39877150114137</v>
      </c>
      <c r="N27" s="1">
        <v>589.5</v>
      </c>
      <c r="O27" s="48"/>
      <c r="P27" s="26">
        <f t="shared" ref="P27:P28" si="22">N27-K27</f>
        <v>-30.318602385621944</v>
      </c>
      <c r="Q27" s="1">
        <f t="shared" ref="Q27:Q28" si="23">N27-L27</f>
        <v>75.080169115519425</v>
      </c>
      <c r="R27" s="1"/>
      <c r="S27" s="1"/>
      <c r="T27" s="5"/>
      <c r="W27" s="7"/>
    </row>
    <row r="28" spans="1:23" ht="15" x14ac:dyDescent="0.2">
      <c r="A28" s="3" t="s">
        <v>59</v>
      </c>
      <c r="B28" s="52"/>
      <c r="C28" s="24"/>
      <c r="D28" s="5">
        <f t="shared" si="7"/>
        <v>64683.9</v>
      </c>
      <c r="E28" s="22">
        <v>67505.320000000007</v>
      </c>
      <c r="F28" s="17">
        <f t="shared" si="13"/>
        <v>1312.9920000000056</v>
      </c>
      <c r="G28" s="19">
        <f>I28*4</f>
        <v>65505.599999999999</v>
      </c>
      <c r="H28" s="29">
        <v>17125</v>
      </c>
      <c r="I28" s="28">
        <v>16376.4</v>
      </c>
      <c r="J28" s="19">
        <f t="shared" si="18"/>
        <v>748.60000000000036</v>
      </c>
      <c r="K28" s="27">
        <f t="shared" si="19"/>
        <v>550.58997524354561</v>
      </c>
      <c r="L28" s="27">
        <f t="shared" si="20"/>
        <v>526.52155740603791</v>
      </c>
      <c r="M28" s="15">
        <f t="shared" si="21"/>
        <v>24.068417837507695</v>
      </c>
      <c r="N28" s="1">
        <v>556.75</v>
      </c>
      <c r="O28" s="47"/>
      <c r="P28" s="26">
        <f t="shared" si="22"/>
        <v>6.1600247564543906</v>
      </c>
      <c r="Q28" s="1">
        <f t="shared" si="23"/>
        <v>30.228442593962086</v>
      </c>
      <c r="R28" s="1"/>
      <c r="S28" s="1"/>
      <c r="T28" s="5"/>
    </row>
    <row r="29" spans="1:23" ht="15" x14ac:dyDescent="0.2">
      <c r="A29" s="3" t="s">
        <v>59</v>
      </c>
      <c r="B29" s="52"/>
      <c r="C29" s="24"/>
      <c r="D29" s="5">
        <f t="shared" ref="D29:D43" si="24">D28+C29</f>
        <v>64683.9</v>
      </c>
      <c r="E29" s="22">
        <v>69716.61</v>
      </c>
      <c r="F29" s="17">
        <f t="shared" si="13"/>
        <v>3548.7190897000037</v>
      </c>
      <c r="G29" s="19">
        <f>I29*4</f>
        <v>67724.683959999995</v>
      </c>
      <c r="H29" s="29">
        <v>17667.644219999998</v>
      </c>
      <c r="I29" s="28">
        <v>16931.170989999999</v>
      </c>
      <c r="J29" s="19">
        <f t="shared" ref="J29" si="25">H29-I29</f>
        <v>736.4732299999996</v>
      </c>
      <c r="K29" s="27">
        <f t="shared" ref="K29" si="26">H29/31.103</f>
        <v>568.03665948622313</v>
      </c>
      <c r="L29" s="27">
        <f t="shared" ref="L29" si="27">I29/31.103</f>
        <v>544.35813233450142</v>
      </c>
      <c r="M29" s="15">
        <f t="shared" ref="M29" si="28">K29-L29</f>
        <v>23.67852715172171</v>
      </c>
      <c r="N29" s="1">
        <v>568</v>
      </c>
      <c r="O29" s="47"/>
      <c r="P29" s="26">
        <f t="shared" ref="P29:P48" si="29">N29-K29</f>
        <v>-3.6659486223129534E-2</v>
      </c>
      <c r="Q29" s="1">
        <f t="shared" ref="Q29:Q48" si="30">N29-L29</f>
        <v>23.64186766549858</v>
      </c>
      <c r="R29" s="1"/>
      <c r="S29" s="1"/>
      <c r="T29" s="5"/>
    </row>
    <row r="30" spans="1:23" ht="15" x14ac:dyDescent="0.2">
      <c r="A30" s="3" t="s">
        <v>60</v>
      </c>
      <c r="B30" s="52"/>
      <c r="C30" s="24"/>
      <c r="D30" s="5">
        <f t="shared" si="24"/>
        <v>64683.9</v>
      </c>
      <c r="E30" s="22">
        <v>73010.55</v>
      </c>
      <c r="F30" s="17">
        <f t="shared" si="13"/>
        <v>3548.7190897000037</v>
      </c>
      <c r="G30" s="19"/>
      <c r="H30" s="29">
        <v>17667.644219999998</v>
      </c>
      <c r="I30" s="28">
        <v>16931.170989999999</v>
      </c>
      <c r="J30" s="19">
        <f t="shared" ref="J30:J48" si="31">H30-I30</f>
        <v>736.4732299999996</v>
      </c>
      <c r="K30" s="27">
        <f t="shared" ref="K30" si="32">H30/31.103</f>
        <v>568.03665948622313</v>
      </c>
      <c r="L30" s="27">
        <f t="shared" ref="L30" si="33">I30/31.103</f>
        <v>544.35813233450142</v>
      </c>
      <c r="M30" s="15">
        <f t="shared" ref="M30:M48" si="34">K30-L30</f>
        <v>23.67852715172171</v>
      </c>
      <c r="N30" s="1">
        <v>592.75</v>
      </c>
      <c r="O30" s="47"/>
      <c r="P30" s="26">
        <f t="shared" si="29"/>
        <v>24.71334051377687</v>
      </c>
      <c r="Q30" s="1">
        <f t="shared" si="30"/>
        <v>48.39186766549858</v>
      </c>
      <c r="R30" s="1"/>
      <c r="S30" s="1"/>
    </row>
    <row r="31" spans="1:23" ht="15" x14ac:dyDescent="0.2">
      <c r="A31" s="3" t="s">
        <v>61</v>
      </c>
      <c r="B31" s="52"/>
      <c r="C31" s="24"/>
      <c r="D31" s="5">
        <f t="shared" si="24"/>
        <v>64683.9</v>
      </c>
      <c r="E31" s="22">
        <v>72215.240000000005</v>
      </c>
      <c r="F31" s="17">
        <f t="shared" si="13"/>
        <v>5841.0999999999985</v>
      </c>
      <c r="G31" s="19"/>
      <c r="H31" s="29">
        <v>18500</v>
      </c>
      <c r="I31" s="28">
        <v>17500</v>
      </c>
      <c r="J31" s="19">
        <f t="shared" si="31"/>
        <v>1000</v>
      </c>
      <c r="K31" s="27">
        <f t="shared" ref="K31:K48" si="35">H31/31.103</f>
        <v>594.79792946018063</v>
      </c>
      <c r="L31" s="27">
        <f t="shared" ref="L31:L48" si="36">I31/31.103</f>
        <v>562.64669002990058</v>
      </c>
      <c r="M31" s="15">
        <f t="shared" si="34"/>
        <v>32.151239430280043</v>
      </c>
      <c r="N31" s="1">
        <v>594.5</v>
      </c>
      <c r="O31" s="47"/>
      <c r="P31" s="26">
        <f t="shared" si="29"/>
        <v>-0.29792946018062594</v>
      </c>
      <c r="Q31" s="1">
        <f t="shared" si="30"/>
        <v>31.853309970099417</v>
      </c>
      <c r="R31" s="1"/>
      <c r="S31" s="1"/>
    </row>
    <row r="32" spans="1:23" ht="15" x14ac:dyDescent="0.2">
      <c r="A32" s="3" t="s">
        <v>62</v>
      </c>
      <c r="B32" s="52"/>
      <c r="C32" s="24"/>
      <c r="D32" s="5">
        <f t="shared" si="24"/>
        <v>64683.9</v>
      </c>
      <c r="E32" s="22">
        <v>74499.350000000006</v>
      </c>
      <c r="F32" s="17">
        <f t="shared" ref="F32:F48" si="37">(I32*4.03)-D32</f>
        <v>8358.8387521000041</v>
      </c>
      <c r="G32" s="19"/>
      <c r="H32" s="29">
        <v>18847.6322</v>
      </c>
      <c r="I32" s="28">
        <v>18124.749070000002</v>
      </c>
      <c r="J32" s="19">
        <f t="shared" si="31"/>
        <v>722.88312999999835</v>
      </c>
      <c r="K32" s="27">
        <f t="shared" si="35"/>
        <v>605.97473555605563</v>
      </c>
      <c r="L32" s="27">
        <f t="shared" si="36"/>
        <v>582.73314696331545</v>
      </c>
      <c r="M32" s="15">
        <f t="shared" si="34"/>
        <v>23.241588592740186</v>
      </c>
      <c r="N32" s="1">
        <v>608.5</v>
      </c>
      <c r="O32" s="47"/>
      <c r="P32" s="26">
        <f t="shared" si="29"/>
        <v>2.5252644439443657</v>
      </c>
      <c r="Q32" s="1">
        <f t="shared" si="30"/>
        <v>25.766853036684552</v>
      </c>
      <c r="R32" s="1"/>
      <c r="S32" s="1"/>
    </row>
    <row r="33" spans="1:19" ht="15" x14ac:dyDescent="0.2">
      <c r="A33" s="3" t="s">
        <v>63</v>
      </c>
      <c r="B33" s="52"/>
      <c r="C33" s="24"/>
      <c r="D33" s="5">
        <f t="shared" si="24"/>
        <v>64683.9</v>
      </c>
      <c r="E33" s="22">
        <v>73758.53</v>
      </c>
      <c r="F33" s="17">
        <f t="shared" si="37"/>
        <v>-7457.9000000000015</v>
      </c>
      <c r="G33" s="19">
        <f>I33*4</f>
        <v>56800</v>
      </c>
      <c r="H33" s="29">
        <v>22200</v>
      </c>
      <c r="I33" s="28">
        <v>14200</v>
      </c>
      <c r="J33" s="19">
        <f t="shared" si="31"/>
        <v>8000</v>
      </c>
      <c r="K33" s="27">
        <f t="shared" si="35"/>
        <v>713.75751535221684</v>
      </c>
      <c r="L33" s="27">
        <f t="shared" si="36"/>
        <v>456.5475999099765</v>
      </c>
      <c r="M33" s="15">
        <f t="shared" si="34"/>
        <v>257.20991544224034</v>
      </c>
      <c r="N33" s="1">
        <v>607</v>
      </c>
      <c r="O33" s="47"/>
      <c r="P33" s="26">
        <f t="shared" si="29"/>
        <v>-106.75751535221684</v>
      </c>
      <c r="Q33" s="1">
        <f t="shared" si="30"/>
        <v>150.4524000900235</v>
      </c>
      <c r="R33" s="1"/>
      <c r="S33" s="1"/>
    </row>
    <row r="34" spans="1:19" ht="15" x14ac:dyDescent="0.2">
      <c r="A34" s="3" t="s">
        <v>64</v>
      </c>
      <c r="B34" s="52"/>
      <c r="C34" s="24"/>
      <c r="D34" s="5">
        <f t="shared" si="24"/>
        <v>64683.9</v>
      </c>
      <c r="E34" s="22">
        <v>73689.37</v>
      </c>
      <c r="F34" s="17">
        <f t="shared" si="37"/>
        <v>7891.5336138000057</v>
      </c>
      <c r="G34" s="19">
        <f>I34*4</f>
        <v>72035.169840000002</v>
      </c>
      <c r="H34" s="29">
        <v>18561.615689999999</v>
      </c>
      <c r="I34" s="28">
        <v>18008.792460000001</v>
      </c>
      <c r="J34" s="19">
        <f t="shared" si="31"/>
        <v>552.82322999999815</v>
      </c>
      <c r="K34" s="27">
        <f t="shared" si="35"/>
        <v>596.77895026203248</v>
      </c>
      <c r="L34" s="27">
        <f t="shared" si="36"/>
        <v>579.00499823168184</v>
      </c>
      <c r="M34" s="15">
        <f t="shared" si="34"/>
        <v>17.773952030350642</v>
      </c>
      <c r="N34" s="1">
        <v>604</v>
      </c>
      <c r="O34" s="47"/>
      <c r="P34" s="26">
        <f t="shared" si="29"/>
        <v>7.2210497379675189</v>
      </c>
      <c r="Q34" s="1">
        <f t="shared" si="30"/>
        <v>24.995001768318161</v>
      </c>
      <c r="R34" s="1"/>
    </row>
    <row r="35" spans="1:19" ht="15" x14ac:dyDescent="0.2">
      <c r="A35" s="3" t="s">
        <v>65</v>
      </c>
      <c r="B35" s="52"/>
      <c r="C35" s="24"/>
      <c r="D35" s="5">
        <f t="shared" si="24"/>
        <v>64683.9</v>
      </c>
      <c r="E35" s="22">
        <v>74499.350000000006</v>
      </c>
      <c r="F35" s="17">
        <f t="shared" si="37"/>
        <v>-6833.25</v>
      </c>
      <c r="G35" s="19">
        <f>I35*4</f>
        <v>57420</v>
      </c>
      <c r="H35" s="29">
        <v>22355</v>
      </c>
      <c r="I35" s="28">
        <v>14355</v>
      </c>
      <c r="J35" s="19">
        <f t="shared" si="31"/>
        <v>8000</v>
      </c>
      <c r="K35" s="27">
        <f t="shared" si="35"/>
        <v>718.74095746391015</v>
      </c>
      <c r="L35" s="27">
        <f t="shared" si="36"/>
        <v>461.53104202166992</v>
      </c>
      <c r="M35" s="15">
        <f t="shared" si="34"/>
        <v>257.20991544224023</v>
      </c>
      <c r="N35" s="1">
        <v>615</v>
      </c>
      <c r="O35" s="47"/>
      <c r="P35" s="26">
        <f t="shared" si="29"/>
        <v>-103.74095746391015</v>
      </c>
      <c r="Q35" s="1">
        <f t="shared" si="30"/>
        <v>153.46895797833008</v>
      </c>
      <c r="R35" s="1"/>
    </row>
    <row r="36" spans="1:19" ht="15" x14ac:dyDescent="0.2">
      <c r="A36" s="3" t="s">
        <v>66</v>
      </c>
      <c r="B36" s="52"/>
      <c r="C36" s="24"/>
      <c r="D36" s="5">
        <f t="shared" si="24"/>
        <v>64683.9</v>
      </c>
      <c r="E36" s="22">
        <v>76611.03</v>
      </c>
      <c r="F36" s="17">
        <f t="shared" si="37"/>
        <v>10480.140600999999</v>
      </c>
      <c r="G36" s="19"/>
      <c r="H36" s="29">
        <v>19369.234929999999</v>
      </c>
      <c r="I36" s="28">
        <v>18651.126700000001</v>
      </c>
      <c r="J36" s="19">
        <f t="shared" si="31"/>
        <v>718.108229999998</v>
      </c>
      <c r="K36" s="27">
        <f t="shared" si="35"/>
        <v>622.74490981577333</v>
      </c>
      <c r="L36" s="27">
        <f t="shared" si="36"/>
        <v>599.65684017618878</v>
      </c>
      <c r="M36" s="15">
        <f t="shared" si="34"/>
        <v>23.088069639584546</v>
      </c>
      <c r="N36" s="1">
        <v>631</v>
      </c>
      <c r="O36" s="47"/>
      <c r="P36" s="26">
        <f t="shared" si="29"/>
        <v>8.255090184226674</v>
      </c>
      <c r="Q36" s="1">
        <f t="shared" si="30"/>
        <v>31.34315982381122</v>
      </c>
      <c r="R36" s="1"/>
    </row>
    <row r="37" spans="1:19" ht="15" x14ac:dyDescent="0.2">
      <c r="A37" s="3" t="s">
        <v>67</v>
      </c>
      <c r="B37" s="52"/>
      <c r="C37" s="24"/>
      <c r="D37" s="5">
        <f t="shared" si="24"/>
        <v>64683.9</v>
      </c>
      <c r="E37" s="22">
        <v>75268.789999999994</v>
      </c>
      <c r="F37" s="17">
        <f t="shared" si="37"/>
        <v>13637.743771800007</v>
      </c>
      <c r="G37" s="19"/>
      <c r="H37" s="29">
        <v>20158.342250000002</v>
      </c>
      <c r="I37" s="28">
        <v>19434.65106</v>
      </c>
      <c r="J37" s="19">
        <f t="shared" si="31"/>
        <v>723.69119000000137</v>
      </c>
      <c r="K37" s="27">
        <f t="shared" si="35"/>
        <v>648.11568819728006</v>
      </c>
      <c r="L37" s="27">
        <f t="shared" si="36"/>
        <v>624.84811947400567</v>
      </c>
      <c r="M37" s="15">
        <f t="shared" si="34"/>
        <v>23.267568723274394</v>
      </c>
      <c r="N37" s="1">
        <v>650</v>
      </c>
      <c r="O37" s="47"/>
      <c r="P37" s="26">
        <f t="shared" si="29"/>
        <v>1.8843118027199353</v>
      </c>
      <c r="Q37" s="1">
        <f t="shared" si="30"/>
        <v>25.151880525994329</v>
      </c>
      <c r="R37" s="1"/>
    </row>
    <row r="38" spans="1:19" ht="15" x14ac:dyDescent="0.2">
      <c r="A38" s="3" t="s">
        <v>68</v>
      </c>
      <c r="B38" s="52"/>
      <c r="C38" s="24"/>
      <c r="D38" s="5">
        <f t="shared" si="24"/>
        <v>64683.9</v>
      </c>
      <c r="E38" s="22">
        <v>75268.789999999994</v>
      </c>
      <c r="F38" s="17">
        <f t="shared" si="37"/>
        <v>13637.743771800007</v>
      </c>
      <c r="G38" s="19"/>
      <c r="H38" s="29">
        <v>20158.342250000002</v>
      </c>
      <c r="I38" s="28">
        <v>19434.65106</v>
      </c>
      <c r="J38" s="19">
        <f t="shared" si="31"/>
        <v>723.69119000000137</v>
      </c>
      <c r="K38" s="27">
        <f t="shared" si="35"/>
        <v>648.11568819728006</v>
      </c>
      <c r="L38" s="27">
        <f t="shared" si="36"/>
        <v>624.84811947400567</v>
      </c>
      <c r="M38" s="15">
        <f t="shared" si="34"/>
        <v>23.267568723274394</v>
      </c>
      <c r="N38" s="1">
        <v>623.25</v>
      </c>
      <c r="O38" s="47"/>
      <c r="P38" s="26">
        <f t="shared" si="29"/>
        <v>-24.865688197280065</v>
      </c>
      <c r="Q38" s="1">
        <f t="shared" si="30"/>
        <v>-1.5981194740056708</v>
      </c>
      <c r="R38" s="1"/>
    </row>
    <row r="39" spans="1:19" ht="15" x14ac:dyDescent="0.2">
      <c r="A39" s="3" t="s">
        <v>69</v>
      </c>
      <c r="B39" s="52"/>
      <c r="C39" s="24"/>
      <c r="D39" s="5">
        <f t="shared" si="24"/>
        <v>64683.9</v>
      </c>
      <c r="E39" s="22">
        <v>75397.320000000007</v>
      </c>
      <c r="F39" s="17">
        <f t="shared" si="37"/>
        <v>9042.4038863000096</v>
      </c>
      <c r="G39" s="19">
        <f t="shared" ref="G39:G59" si="38">I39*4</f>
        <v>73177.472840000002</v>
      </c>
      <c r="H39" s="29">
        <v>19766.6168</v>
      </c>
      <c r="I39" s="28">
        <v>18294.368210000001</v>
      </c>
      <c r="J39" s="19">
        <f t="shared" si="31"/>
        <v>1472.2485899999992</v>
      </c>
      <c r="K39" s="27">
        <f t="shared" si="35"/>
        <v>635.5212294633958</v>
      </c>
      <c r="L39" s="27">
        <f t="shared" si="36"/>
        <v>588.1866125454136</v>
      </c>
      <c r="M39" s="15">
        <f t="shared" si="34"/>
        <v>47.334616917982203</v>
      </c>
      <c r="N39" s="1">
        <v>604</v>
      </c>
      <c r="O39" s="47"/>
      <c r="P39" s="26">
        <f t="shared" si="29"/>
        <v>-31.521229463395798</v>
      </c>
      <c r="Q39" s="1">
        <f t="shared" si="30"/>
        <v>15.813387454586405</v>
      </c>
      <c r="R39" s="1"/>
    </row>
    <row r="40" spans="1:19" ht="15" x14ac:dyDescent="0.2">
      <c r="A40" s="3" t="s">
        <v>70</v>
      </c>
      <c r="B40" s="52"/>
      <c r="C40" s="24"/>
      <c r="D40" s="5">
        <f t="shared" si="24"/>
        <v>64683.9</v>
      </c>
      <c r="E40" s="22">
        <v>75397.320000000007</v>
      </c>
      <c r="F40" s="17">
        <f t="shared" si="37"/>
        <v>2063.4673450999908</v>
      </c>
      <c r="G40" s="19">
        <f t="shared" si="38"/>
        <v>66250.488679999995</v>
      </c>
      <c r="H40" s="29">
        <v>18037.735700000001</v>
      </c>
      <c r="I40" s="28">
        <v>16562.622169999999</v>
      </c>
      <c r="J40" s="19">
        <f t="shared" si="31"/>
        <v>1475.1135300000024</v>
      </c>
      <c r="K40" s="27">
        <f t="shared" si="35"/>
        <v>579.9355592708099</v>
      </c>
      <c r="L40" s="27">
        <f t="shared" si="36"/>
        <v>532.50883098093425</v>
      </c>
      <c r="M40" s="15">
        <f t="shared" si="34"/>
        <v>47.426728289875655</v>
      </c>
      <c r="N40" s="1">
        <v>541.5</v>
      </c>
      <c r="O40" s="47"/>
      <c r="P40" s="26">
        <f t="shared" si="29"/>
        <v>-38.435559270809904</v>
      </c>
      <c r="Q40" s="1">
        <f t="shared" si="30"/>
        <v>8.9911690190657509</v>
      </c>
      <c r="R40" s="1"/>
    </row>
    <row r="41" spans="1:19" ht="15" x14ac:dyDescent="0.2">
      <c r="A41" s="3" t="s">
        <v>71</v>
      </c>
      <c r="B41" s="52"/>
      <c r="C41" s="24"/>
      <c r="D41" s="5">
        <f t="shared" si="24"/>
        <v>64683.9</v>
      </c>
      <c r="E41" s="22">
        <v>65841.62</v>
      </c>
      <c r="F41" s="17">
        <f>(I41*4.03)-D41</f>
        <v>-4780.9172889999973</v>
      </c>
      <c r="G41" s="19">
        <f t="shared" si="38"/>
        <v>59457.054799999998</v>
      </c>
      <c r="H41" s="62">
        <v>17811.478899999998</v>
      </c>
      <c r="I41" s="63">
        <v>14864.2637</v>
      </c>
      <c r="J41" s="64">
        <f t="shared" si="31"/>
        <v>2947.2151999999987</v>
      </c>
      <c r="K41" s="65">
        <f t="shared" si="35"/>
        <v>572.66112272128078</v>
      </c>
      <c r="L41" s="65">
        <f t="shared" si="36"/>
        <v>477.9045011735202</v>
      </c>
      <c r="M41" s="66">
        <f t="shared" si="34"/>
        <v>94.756621547760574</v>
      </c>
      <c r="N41" s="67">
        <v>530</v>
      </c>
      <c r="O41" s="68"/>
      <c r="P41" s="69">
        <f t="shared" si="29"/>
        <v>-42.661122721280776</v>
      </c>
      <c r="Q41" s="67">
        <f t="shared" si="30"/>
        <v>52.095498826479798</v>
      </c>
      <c r="R41" s="60"/>
    </row>
    <row r="42" spans="1:19" ht="15" x14ac:dyDescent="0.2">
      <c r="A42" s="59" t="s">
        <v>72</v>
      </c>
      <c r="B42" s="52"/>
      <c r="C42" s="24"/>
      <c r="D42" s="5">
        <f t="shared" si="24"/>
        <v>64683.9</v>
      </c>
      <c r="E42" s="22">
        <v>65841.62</v>
      </c>
      <c r="F42" s="17">
        <f>(I42*4.03)-D42</f>
        <v>-468.00318869999319</v>
      </c>
      <c r="G42" s="61">
        <f t="shared" si="38"/>
        <v>63737.862840000002</v>
      </c>
      <c r="H42" s="70">
        <v>16562.805820000001</v>
      </c>
      <c r="I42" s="71">
        <v>15934.46571</v>
      </c>
      <c r="J42" s="72">
        <f t="shared" si="31"/>
        <v>628.340110000001</v>
      </c>
      <c r="K42" s="73">
        <f t="shared" si="35"/>
        <v>532.51473555605571</v>
      </c>
      <c r="L42" s="73">
        <f t="shared" si="36"/>
        <v>512.31282223579717</v>
      </c>
      <c r="M42" s="74">
        <f t="shared" si="34"/>
        <v>20.201913320258541</v>
      </c>
      <c r="N42" s="75">
        <v>536</v>
      </c>
      <c r="O42" s="76"/>
      <c r="P42" s="77">
        <f t="shared" si="29"/>
        <v>3.4852644439442884</v>
      </c>
      <c r="Q42" s="75">
        <f t="shared" si="30"/>
        <v>23.687177764202829</v>
      </c>
      <c r="R42" s="75"/>
    </row>
    <row r="43" spans="1:19" ht="15" x14ac:dyDescent="0.2">
      <c r="A43" s="59" t="s">
        <v>73</v>
      </c>
      <c r="B43" s="52"/>
      <c r="C43" s="24"/>
      <c r="D43" s="5">
        <f t="shared" si="24"/>
        <v>64683.9</v>
      </c>
      <c r="E43" s="22">
        <v>69350.899999999994</v>
      </c>
      <c r="F43" s="17">
        <f t="shared" si="37"/>
        <v>3396.1928832829944</v>
      </c>
      <c r="G43" s="61">
        <f t="shared" si="38"/>
        <v>67573.293184399998</v>
      </c>
      <c r="H43" s="70">
        <v>17523.994291899999</v>
      </c>
      <c r="I43" s="71">
        <v>16893.323296099999</v>
      </c>
      <c r="J43" s="72">
        <f t="shared" si="31"/>
        <v>630.67099579999922</v>
      </c>
      <c r="K43" s="73">
        <f t="shared" si="35"/>
        <v>563.41813625373754</v>
      </c>
      <c r="L43" s="73">
        <f t="shared" si="36"/>
        <v>543.14128206603857</v>
      </c>
      <c r="M43" s="74">
        <f t="shared" si="34"/>
        <v>20.276854187698973</v>
      </c>
      <c r="N43" s="75">
        <v>567</v>
      </c>
      <c r="O43" s="76"/>
      <c r="P43" s="77">
        <f t="shared" si="29"/>
        <v>3.5818637462624565</v>
      </c>
      <c r="Q43" s="75">
        <f t="shared" si="30"/>
        <v>23.858717933961429</v>
      </c>
      <c r="R43" s="75"/>
    </row>
    <row r="44" spans="1:19" ht="15" x14ac:dyDescent="0.2">
      <c r="A44" s="59" t="s">
        <v>91</v>
      </c>
      <c r="B44" s="52"/>
      <c r="C44" s="24"/>
      <c r="D44" s="5">
        <f t="shared" ref="D44:D48" si="39">D43+C44</f>
        <v>64683.9</v>
      </c>
      <c r="E44" s="22">
        <v>71076.05</v>
      </c>
      <c r="F44" s="17">
        <f t="shared" si="37"/>
        <v>642.40000000000146</v>
      </c>
      <c r="G44" s="61">
        <f t="shared" si="38"/>
        <v>64840</v>
      </c>
      <c r="H44" s="70">
        <v>18610</v>
      </c>
      <c r="I44" s="71">
        <v>16210</v>
      </c>
      <c r="J44" s="72">
        <f t="shared" si="31"/>
        <v>2400</v>
      </c>
      <c r="K44" s="73">
        <f t="shared" si="35"/>
        <v>598.33456579751146</v>
      </c>
      <c r="L44" s="73">
        <f t="shared" si="36"/>
        <v>521.17159116483936</v>
      </c>
      <c r="M44" s="74">
        <f t="shared" si="34"/>
        <v>77.162974632672103</v>
      </c>
      <c r="N44" s="75">
        <v>582.5</v>
      </c>
      <c r="O44" s="76"/>
      <c r="P44" s="77">
        <f t="shared" si="29"/>
        <v>-15.834565797511459</v>
      </c>
      <c r="Q44" s="75">
        <f t="shared" si="30"/>
        <v>61.328408835160644</v>
      </c>
      <c r="R44" s="75"/>
    </row>
    <row r="45" spans="1:19" ht="15" x14ac:dyDescent="0.2">
      <c r="A45" s="59" t="s">
        <v>94</v>
      </c>
      <c r="B45" s="52"/>
      <c r="C45" s="24"/>
      <c r="D45" s="5">
        <f t="shared" si="39"/>
        <v>64683.9</v>
      </c>
      <c r="E45" s="22">
        <v>69727.490000000005</v>
      </c>
      <c r="F45" s="17">
        <f t="shared" si="37"/>
        <v>3778.7451223000025</v>
      </c>
      <c r="G45" s="61">
        <f t="shared" si="38"/>
        <v>67952.997640000001</v>
      </c>
      <c r="H45" s="70">
        <v>17615.965110000001</v>
      </c>
      <c r="I45" s="71">
        <v>16988.24941</v>
      </c>
      <c r="J45" s="72">
        <f t="shared" si="31"/>
        <v>627.71570000000065</v>
      </c>
      <c r="K45" s="73">
        <f t="shared" si="35"/>
        <v>566.37511204706936</v>
      </c>
      <c r="L45" s="73">
        <f t="shared" si="36"/>
        <v>546.19327428222357</v>
      </c>
      <c r="M45" s="74">
        <f t="shared" si="34"/>
        <v>20.181837764845795</v>
      </c>
      <c r="N45" s="75">
        <v>569</v>
      </c>
      <c r="O45" s="76"/>
      <c r="P45" s="77">
        <f t="shared" si="29"/>
        <v>2.624887952930635</v>
      </c>
      <c r="Q45" s="75">
        <f t="shared" si="30"/>
        <v>22.80672571777643</v>
      </c>
      <c r="R45" s="75"/>
    </row>
    <row r="46" spans="1:19" ht="15" x14ac:dyDescent="0.2">
      <c r="A46" s="59" t="s">
        <v>95</v>
      </c>
      <c r="B46" s="52"/>
      <c r="C46" s="24"/>
      <c r="D46" s="5">
        <f t="shared" si="39"/>
        <v>64683.9</v>
      </c>
      <c r="E46" s="22">
        <v>71215.56</v>
      </c>
      <c r="F46" s="17">
        <f t="shared" si="37"/>
        <v>4006.4028045000086</v>
      </c>
      <c r="G46" s="61">
        <f t="shared" si="38"/>
        <v>68178.960600000006</v>
      </c>
      <c r="H46" s="70">
        <v>18297.96775</v>
      </c>
      <c r="I46" s="71">
        <v>17044.740150000001</v>
      </c>
      <c r="J46" s="72">
        <f t="shared" si="31"/>
        <v>1253.2275999999983</v>
      </c>
      <c r="K46" s="73">
        <f t="shared" si="35"/>
        <v>588.30234221779244</v>
      </c>
      <c r="L46" s="73">
        <f t="shared" si="36"/>
        <v>548.00952158955727</v>
      </c>
      <c r="M46" s="74">
        <f t="shared" si="34"/>
        <v>40.292820628235177</v>
      </c>
      <c r="N46" s="75">
        <v>578</v>
      </c>
      <c r="O46" s="76"/>
      <c r="P46" s="77">
        <f t="shared" si="29"/>
        <v>-10.302342217792443</v>
      </c>
      <c r="Q46" s="75">
        <f t="shared" si="30"/>
        <v>29.990478410442734</v>
      </c>
      <c r="R46" s="75"/>
    </row>
    <row r="47" spans="1:19" ht="15" x14ac:dyDescent="0.2">
      <c r="A47" s="59" t="s">
        <v>96</v>
      </c>
      <c r="B47" s="52"/>
      <c r="C47" s="24"/>
      <c r="D47" s="5">
        <f t="shared" si="39"/>
        <v>64683.9</v>
      </c>
      <c r="E47" s="22">
        <v>70733.23</v>
      </c>
      <c r="F47" s="17">
        <f t="shared" si="37"/>
        <v>3524.591520000009</v>
      </c>
      <c r="G47" s="61">
        <f t="shared" si="38"/>
        <v>67700.736000000004</v>
      </c>
      <c r="H47" s="70">
        <v>18178.154490000001</v>
      </c>
      <c r="I47" s="71">
        <v>16925.184000000001</v>
      </c>
      <c r="J47" s="72">
        <f t="shared" si="31"/>
        <v>1252.9704899999997</v>
      </c>
      <c r="K47" s="73">
        <f t="shared" si="35"/>
        <v>584.45019740861005</v>
      </c>
      <c r="L47" s="73">
        <f t="shared" si="36"/>
        <v>544.16564318554481</v>
      </c>
      <c r="M47" s="74">
        <f t="shared" si="34"/>
        <v>40.284554223065243</v>
      </c>
      <c r="N47" s="75">
        <v>572.25</v>
      </c>
      <c r="O47" s="76"/>
      <c r="P47" s="77">
        <f t="shared" si="29"/>
        <v>-12.200197408610052</v>
      </c>
      <c r="Q47" s="75">
        <f t="shared" si="30"/>
        <v>28.084356814455191</v>
      </c>
      <c r="R47" s="75"/>
    </row>
    <row r="48" spans="1:19" ht="15" x14ac:dyDescent="0.2">
      <c r="A48" s="59" t="s">
        <v>97</v>
      </c>
      <c r="B48" s="52"/>
      <c r="C48" s="24"/>
      <c r="D48" s="5">
        <f t="shared" si="39"/>
        <v>64683.9</v>
      </c>
      <c r="E48" s="22">
        <v>68688.600000000006</v>
      </c>
      <c r="F48" s="17">
        <f t="shared" si="37"/>
        <v>1482.9254532999985</v>
      </c>
      <c r="G48" s="61">
        <f t="shared" si="38"/>
        <v>65674.26844</v>
      </c>
      <c r="H48" s="70">
        <v>17670.684000000001</v>
      </c>
      <c r="I48" s="71">
        <v>16418.56711</v>
      </c>
      <c r="J48" s="72">
        <f t="shared" si="31"/>
        <v>1252.1168900000011</v>
      </c>
      <c r="K48" s="73">
        <f t="shared" si="35"/>
        <v>568.13439218081862</v>
      </c>
      <c r="L48" s="73">
        <f t="shared" si="36"/>
        <v>527.87728225573096</v>
      </c>
      <c r="M48" s="74">
        <f t="shared" si="34"/>
        <v>40.257109925087661</v>
      </c>
      <c r="N48" s="75">
        <v>551</v>
      </c>
      <c r="O48" s="76"/>
      <c r="P48" s="77">
        <f t="shared" si="29"/>
        <v>-17.134392180818622</v>
      </c>
      <c r="Q48" s="75">
        <f t="shared" si="30"/>
        <v>23.122717744269039</v>
      </c>
      <c r="R48" s="75"/>
    </row>
    <row r="49" spans="1:18" ht="15" x14ac:dyDescent="0.2">
      <c r="A49" s="59" t="s">
        <v>98</v>
      </c>
      <c r="B49" s="52"/>
      <c r="C49" s="24"/>
      <c r="D49" s="5">
        <f t="shared" ref="D49:D51" si="40">D48+C49</f>
        <v>64683.9</v>
      </c>
      <c r="E49" s="22">
        <v>65327.17</v>
      </c>
      <c r="F49" s="17">
        <f t="shared" ref="F49:F51" si="41">(I49*4.03)-D49</f>
        <v>-11286.400000000001</v>
      </c>
      <c r="G49" s="61">
        <f t="shared" ref="G49:G51" si="42">I49*4</f>
        <v>53000</v>
      </c>
      <c r="H49" s="70">
        <v>18750</v>
      </c>
      <c r="I49" s="71">
        <v>13250</v>
      </c>
      <c r="J49" s="72">
        <f t="shared" ref="J49:J51" si="43">H49-I49</f>
        <v>5500</v>
      </c>
      <c r="K49" s="73">
        <f t="shared" ref="K49:K51" si="44">H49/31.103</f>
        <v>602.83573931775072</v>
      </c>
      <c r="L49" s="73">
        <f t="shared" ref="L49:L51" si="45">I49/31.103</f>
        <v>426.00392245121049</v>
      </c>
      <c r="M49" s="74">
        <f t="shared" ref="M49:M51" si="46">K49-L49</f>
        <v>176.83181686654024</v>
      </c>
      <c r="N49" s="75">
        <v>521</v>
      </c>
      <c r="O49" s="76"/>
      <c r="P49" s="77">
        <f t="shared" ref="P49:P51" si="47">N49-K49</f>
        <v>-81.835739317750722</v>
      </c>
      <c r="Q49" s="75">
        <f t="shared" ref="Q49:Q51" si="48">N49-L49</f>
        <v>94.996077548789515</v>
      </c>
      <c r="R49" s="75"/>
    </row>
    <row r="50" spans="1:18" ht="15" x14ac:dyDescent="0.2">
      <c r="A50" s="59" t="s">
        <v>99</v>
      </c>
      <c r="B50" s="52"/>
      <c r="C50" s="24"/>
      <c r="D50" s="5">
        <f t="shared" si="40"/>
        <v>64683.9</v>
      </c>
      <c r="E50" s="22">
        <v>61477.71</v>
      </c>
      <c r="F50" s="17">
        <f t="shared" si="41"/>
        <v>-5726.3331642999983</v>
      </c>
      <c r="G50" s="61">
        <f t="shared" si="42"/>
        <v>58518.676760000002</v>
      </c>
      <c r="H50" s="70">
        <v>15880.362419999999</v>
      </c>
      <c r="I50" s="71">
        <v>14629.669190000001</v>
      </c>
      <c r="J50" s="72">
        <f t="shared" si="43"/>
        <v>1250.6932299999989</v>
      </c>
      <c r="K50" s="73">
        <f t="shared" si="44"/>
        <v>510.57333440504129</v>
      </c>
      <c r="L50" s="73">
        <f t="shared" si="45"/>
        <v>470.36199691348099</v>
      </c>
      <c r="M50" s="74">
        <f t="shared" si="46"/>
        <v>40.2113374915603</v>
      </c>
      <c r="N50" s="75">
        <v>507</v>
      </c>
      <c r="O50" s="76"/>
      <c r="P50" s="77">
        <f t="shared" si="47"/>
        <v>-3.5733344050412938</v>
      </c>
      <c r="Q50" s="75">
        <f t="shared" si="48"/>
        <v>36.638003086519007</v>
      </c>
      <c r="R50" s="75"/>
    </row>
    <row r="51" spans="1:18" ht="15" x14ac:dyDescent="0.2">
      <c r="A51" s="59" t="s">
        <v>100</v>
      </c>
      <c r="B51" s="52"/>
      <c r="C51" s="24"/>
      <c r="D51" s="5">
        <f t="shared" si="40"/>
        <v>64683.9</v>
      </c>
      <c r="E51" s="22">
        <v>59058.15</v>
      </c>
      <c r="F51" s="17">
        <f t="shared" si="41"/>
        <v>-13905.900000000001</v>
      </c>
      <c r="G51" s="61">
        <f t="shared" si="42"/>
        <v>50400</v>
      </c>
      <c r="H51" s="70">
        <v>16600</v>
      </c>
      <c r="I51" s="71">
        <v>12600</v>
      </c>
      <c r="J51" s="72">
        <f t="shared" si="43"/>
        <v>4000</v>
      </c>
      <c r="K51" s="73">
        <f t="shared" si="44"/>
        <v>533.7105745426486</v>
      </c>
      <c r="L51" s="73">
        <f t="shared" si="45"/>
        <v>405.10561682152843</v>
      </c>
      <c r="M51" s="74">
        <f t="shared" si="46"/>
        <v>128.60495772112017</v>
      </c>
      <c r="N51" s="75">
        <v>480.75</v>
      </c>
      <c r="O51" s="76"/>
      <c r="P51" s="77">
        <f t="shared" si="47"/>
        <v>-52.960574542648601</v>
      </c>
      <c r="Q51" s="75">
        <f t="shared" si="48"/>
        <v>75.644383178471571</v>
      </c>
      <c r="R51" s="75"/>
    </row>
    <row r="52" spans="1:18" ht="15" x14ac:dyDescent="0.2">
      <c r="A52" s="59"/>
      <c r="B52" s="81"/>
      <c r="C52" s="82"/>
      <c r="D52" s="83"/>
      <c r="E52" s="92"/>
      <c r="F52" s="85"/>
      <c r="G52" s="85"/>
      <c r="H52" s="86"/>
      <c r="I52" s="87"/>
      <c r="J52" s="85"/>
      <c r="K52" s="88"/>
      <c r="L52" s="88"/>
      <c r="M52" s="89"/>
      <c r="N52" s="60"/>
      <c r="O52" s="90"/>
      <c r="P52" s="91"/>
      <c r="Q52" s="60"/>
      <c r="R52" s="60"/>
    </row>
    <row r="53" spans="1:18" ht="15" x14ac:dyDescent="0.2">
      <c r="A53" s="59"/>
      <c r="B53" s="81"/>
      <c r="C53" s="82"/>
      <c r="D53" s="83"/>
      <c r="E53" s="84"/>
      <c r="F53" s="85"/>
      <c r="G53" s="85"/>
      <c r="H53" s="86"/>
      <c r="I53" s="87"/>
      <c r="J53" s="85"/>
      <c r="K53" s="88"/>
      <c r="L53" s="88"/>
      <c r="M53" s="89"/>
      <c r="N53" s="60"/>
      <c r="O53" s="90"/>
      <c r="P53" s="91"/>
      <c r="Q53" s="60"/>
      <c r="R53" s="60"/>
    </row>
    <row r="54" spans="1:18" ht="15" x14ac:dyDescent="0.2">
      <c r="A54" s="59"/>
      <c r="B54" s="81"/>
      <c r="C54" s="82"/>
      <c r="D54" s="83"/>
      <c r="E54" s="84"/>
      <c r="F54" s="85"/>
      <c r="G54" s="85"/>
      <c r="H54" s="86"/>
      <c r="I54" s="87"/>
      <c r="J54" s="85"/>
      <c r="K54" s="88"/>
      <c r="L54" s="88"/>
      <c r="M54" s="89"/>
      <c r="N54" s="60"/>
      <c r="O54" s="90"/>
      <c r="P54" s="91"/>
      <c r="Q54" s="60"/>
      <c r="R54" s="60"/>
    </row>
    <row r="55" spans="1:18" ht="15" x14ac:dyDescent="0.2">
      <c r="A55" s="59"/>
      <c r="B55" s="81"/>
      <c r="C55" s="82"/>
      <c r="D55" s="83"/>
      <c r="E55" s="84"/>
      <c r="F55" s="85"/>
      <c r="G55" s="85"/>
      <c r="H55" s="86"/>
      <c r="I55" s="87"/>
      <c r="J55" s="85"/>
      <c r="K55" s="88"/>
      <c r="L55" s="88"/>
      <c r="M55" s="89"/>
      <c r="N55" s="60"/>
      <c r="O55" s="90"/>
      <c r="P55" s="91"/>
      <c r="Q55" s="60"/>
      <c r="R55" s="60"/>
    </row>
    <row r="56" spans="1:18" ht="15" x14ac:dyDescent="0.2">
      <c r="A56" s="59"/>
      <c r="B56" s="81"/>
      <c r="C56" s="82"/>
      <c r="D56" s="83"/>
      <c r="E56" s="84"/>
      <c r="F56" s="85"/>
      <c r="G56" s="85"/>
      <c r="H56" s="86"/>
      <c r="I56" s="87"/>
      <c r="J56" s="85" t="s">
        <v>101</v>
      </c>
      <c r="K56" s="88">
        <f>(K22+K18+K11+K2)/4</f>
        <v>520.06784150093358</v>
      </c>
      <c r="L56" s="88"/>
      <c r="M56" s="89"/>
      <c r="N56" s="60"/>
      <c r="O56" s="90"/>
      <c r="P56" s="91"/>
      <c r="Q56" s="60"/>
      <c r="R56" s="60"/>
    </row>
    <row r="57" spans="1:18" ht="15" x14ac:dyDescent="0.2">
      <c r="A57" s="59"/>
      <c r="B57" s="81"/>
      <c r="C57" s="82"/>
      <c r="D57" s="83"/>
      <c r="E57" s="84"/>
      <c r="F57" s="85"/>
      <c r="G57" s="85"/>
      <c r="H57" s="86"/>
      <c r="I57" s="87"/>
      <c r="J57" s="85"/>
      <c r="K57" s="88"/>
      <c r="L57" s="88"/>
      <c r="M57" s="89"/>
      <c r="N57" s="60"/>
      <c r="O57" s="90"/>
      <c r="P57" s="91"/>
      <c r="Q57" s="60"/>
      <c r="R57" s="60"/>
    </row>
    <row r="58" spans="1:18" ht="15" x14ac:dyDescent="0.2">
      <c r="A58" s="59"/>
      <c r="B58" s="81"/>
      <c r="C58" s="82"/>
      <c r="D58" s="83"/>
      <c r="E58" s="84"/>
      <c r="F58" s="85"/>
      <c r="G58" s="85"/>
      <c r="H58" s="86"/>
      <c r="I58" s="87"/>
      <c r="J58" s="85"/>
      <c r="K58" s="88"/>
      <c r="L58" s="88"/>
      <c r="M58" s="89"/>
      <c r="N58" s="60"/>
      <c r="O58" s="90"/>
      <c r="P58" s="91"/>
      <c r="Q58" s="60"/>
      <c r="R58" s="60"/>
    </row>
    <row r="59" spans="1:18" ht="32.25" customHeight="1" x14ac:dyDescent="0.2">
      <c r="A59" s="54" t="s">
        <v>48</v>
      </c>
      <c r="C59" s="54" t="s">
        <v>49</v>
      </c>
      <c r="D59" s="53"/>
      <c r="E59" s="53"/>
      <c r="F59" s="53">
        <f>H59*4</f>
        <v>72521.475040000005</v>
      </c>
      <c r="G59" s="53">
        <f t="shared" si="38"/>
        <v>77112.871960000004</v>
      </c>
      <c r="H59" s="58">
        <v>18130.368760000001</v>
      </c>
      <c r="I59">
        <v>19278.217990000001</v>
      </c>
      <c r="J59">
        <v>727521.48</v>
      </c>
    </row>
    <row r="60" spans="1:18" ht="23.25" x14ac:dyDescent="0.2">
      <c r="A60" s="53"/>
      <c r="B60" s="54" t="s">
        <v>51</v>
      </c>
      <c r="C60" s="54">
        <f>I22*4</f>
        <v>72697.809880000001</v>
      </c>
      <c r="D60" s="54" t="s">
        <v>52</v>
      </c>
      <c r="E60" s="53"/>
      <c r="F60" s="55"/>
      <c r="H60" s="58">
        <v>18005.009269999999</v>
      </c>
      <c r="I60" s="58">
        <v>17374.722470000001</v>
      </c>
      <c r="J60" s="45" t="s">
        <v>92</v>
      </c>
      <c r="K60" s="45" t="s">
        <v>93</v>
      </c>
    </row>
    <row r="61" spans="1:18" ht="27.75" customHeight="1" x14ac:dyDescent="0.2">
      <c r="B61" s="54" t="s">
        <v>50</v>
      </c>
      <c r="C61" s="54">
        <f>C60-D23</f>
        <v>8013.9098799999992</v>
      </c>
      <c r="D61" s="54" t="s">
        <v>52</v>
      </c>
    </row>
    <row r="63" spans="1:18" x14ac:dyDescent="0.2">
      <c r="E63" t="s">
        <v>77</v>
      </c>
      <c r="F63" t="s">
        <v>75</v>
      </c>
      <c r="G63" t="s">
        <v>76</v>
      </c>
      <c r="H63" s="45" t="s">
        <v>79</v>
      </c>
      <c r="I63" s="45" t="s">
        <v>82</v>
      </c>
      <c r="J63" s="45" t="s">
        <v>81</v>
      </c>
      <c r="K63" s="45" t="s">
        <v>80</v>
      </c>
      <c r="L63" s="45" t="s">
        <v>83</v>
      </c>
      <c r="M63" t="s">
        <v>78</v>
      </c>
      <c r="O63" s="45" t="s">
        <v>73</v>
      </c>
    </row>
    <row r="64" spans="1:18" x14ac:dyDescent="0.2">
      <c r="C64" t="s">
        <v>74</v>
      </c>
      <c r="E64">
        <v>501.25</v>
      </c>
      <c r="F64">
        <v>6.2</v>
      </c>
      <c r="G64" s="7">
        <f>E64*F64</f>
        <v>3107.75</v>
      </c>
      <c r="H64" s="79">
        <v>7.9000000000000001E-2</v>
      </c>
      <c r="I64" s="78">
        <f>G64*H64</f>
        <v>245.51224999999999</v>
      </c>
      <c r="J64" s="7">
        <f>I64+G64</f>
        <v>3353.2622499999998</v>
      </c>
      <c r="K64" s="7">
        <f>5%*(G64+I64)</f>
        <v>167.66311250000001</v>
      </c>
      <c r="L64" s="78">
        <f>(E64*F64)+I64+K64</f>
        <v>3520.9253624999997</v>
      </c>
      <c r="M64" s="7">
        <f>L64/F64</f>
        <v>567.89118749999989</v>
      </c>
      <c r="O64">
        <v>525</v>
      </c>
      <c r="P64" s="45" t="s">
        <v>85</v>
      </c>
    </row>
    <row r="65" spans="3:14" x14ac:dyDescent="0.2">
      <c r="C65" t="s">
        <v>74</v>
      </c>
      <c r="E65">
        <v>501.25</v>
      </c>
      <c r="F65">
        <v>6.23</v>
      </c>
      <c r="G65" s="7">
        <f>E65*F65</f>
        <v>3122.7875000000004</v>
      </c>
      <c r="H65" s="79">
        <v>7.9000000000000001E-2</v>
      </c>
      <c r="I65" s="78">
        <f>E65*F65*H65</f>
        <v>246.70021250000002</v>
      </c>
      <c r="J65" s="7">
        <f t="shared" ref="J65:J67" si="49">I65+G65</f>
        <v>3369.4877125000003</v>
      </c>
      <c r="K65" s="7">
        <f>5%*(G65+I65)</f>
        <v>168.47438562500002</v>
      </c>
      <c r="L65" s="78">
        <f>(E65*F65)+I65+K65</f>
        <v>3537.9620981250005</v>
      </c>
      <c r="M65" s="7">
        <f>L65/F65</f>
        <v>567.8911875</v>
      </c>
    </row>
    <row r="66" spans="3:14" x14ac:dyDescent="0.2">
      <c r="C66" t="s">
        <v>74</v>
      </c>
      <c r="E66">
        <v>501.25</v>
      </c>
      <c r="F66">
        <v>7.75</v>
      </c>
      <c r="G66" s="7">
        <f t="shared" ref="G66:G68" si="50">E66*F66</f>
        <v>3884.6875</v>
      </c>
      <c r="H66" s="79">
        <v>5.67E-2</v>
      </c>
      <c r="I66" s="78">
        <f t="shared" ref="I66:I67" si="51">E66*F66*H66</f>
        <v>220.26178125000001</v>
      </c>
      <c r="J66" s="7">
        <f t="shared" si="49"/>
        <v>4104.9492812500002</v>
      </c>
      <c r="K66" s="7">
        <f>5%*(G66+I66)</f>
        <v>205.24746406250003</v>
      </c>
      <c r="L66" s="78">
        <f>(E66*F66)+I66+K66</f>
        <v>4310.1967453124998</v>
      </c>
      <c r="M66" s="7">
        <f>L66/F66</f>
        <v>556.15441874999999</v>
      </c>
    </row>
    <row r="67" spans="3:14" x14ac:dyDescent="0.2">
      <c r="C67" t="s">
        <v>74</v>
      </c>
      <c r="E67">
        <v>501.25</v>
      </c>
      <c r="F67">
        <v>7.57</v>
      </c>
      <c r="G67" s="7">
        <f t="shared" si="50"/>
        <v>3794.4625000000001</v>
      </c>
      <c r="H67" s="79">
        <v>5.67E-2</v>
      </c>
      <c r="I67" s="78">
        <f t="shared" si="51"/>
        <v>215.14602375000001</v>
      </c>
      <c r="J67" s="7">
        <f t="shared" si="49"/>
        <v>4009.6085237500001</v>
      </c>
      <c r="K67" s="7">
        <f>5%*(G67+I67)</f>
        <v>200.48042618750003</v>
      </c>
      <c r="L67" s="78">
        <f>(E67*F67)+I67+K67</f>
        <v>4210.0889499374998</v>
      </c>
      <c r="M67" s="7">
        <f>L67/F67</f>
        <v>556.15441874999999</v>
      </c>
    </row>
    <row r="68" spans="3:14" x14ac:dyDescent="0.2">
      <c r="C68" t="s">
        <v>74</v>
      </c>
      <c r="E68">
        <v>541.25</v>
      </c>
      <c r="F68">
        <v>20</v>
      </c>
      <c r="G68">
        <f t="shared" si="50"/>
        <v>10825</v>
      </c>
      <c r="I68">
        <v>135</v>
      </c>
      <c r="L68" s="78">
        <f>(E68*F68)+I68+K68</f>
        <v>10960</v>
      </c>
      <c r="M68" s="7">
        <f>L68/F68</f>
        <v>548</v>
      </c>
      <c r="N68" s="45" t="s">
        <v>84</v>
      </c>
    </row>
    <row r="71" spans="3:14" x14ac:dyDescent="0.2">
      <c r="J71" s="78">
        <f>(D71*E71)+H71+I71</f>
        <v>0</v>
      </c>
    </row>
    <row r="72" spans="3:14" x14ac:dyDescent="0.2">
      <c r="H72" s="45" t="s">
        <v>75</v>
      </c>
      <c r="I72" s="45" t="s">
        <v>86</v>
      </c>
      <c r="K72" s="45" t="s">
        <v>89</v>
      </c>
      <c r="L72" s="45" t="s">
        <v>90</v>
      </c>
    </row>
    <row r="73" spans="3:14" x14ac:dyDescent="0.2">
      <c r="F73" s="45" t="s">
        <v>88</v>
      </c>
      <c r="G73" s="45" t="s">
        <v>87</v>
      </c>
      <c r="H73">
        <v>139.63</v>
      </c>
      <c r="I73">
        <v>190.25</v>
      </c>
      <c r="J73">
        <f>H73*I73</f>
        <v>26564.607499999998</v>
      </c>
      <c r="K73">
        <v>32000</v>
      </c>
      <c r="L73">
        <f>K73*76</f>
        <v>2432000</v>
      </c>
    </row>
    <row r="74" spans="3:14" x14ac:dyDescent="0.2">
      <c r="I74">
        <v>525</v>
      </c>
      <c r="J74">
        <f>I74*H73</f>
        <v>73305.75</v>
      </c>
      <c r="L74">
        <f>J74*76</f>
        <v>5571237</v>
      </c>
    </row>
  </sheetData>
  <conditionalFormatting sqref="F3:F58">
    <cfRule type="cellIs" dxfId="19" priority="6" operator="lessThan">
      <formula>0</formula>
    </cfRule>
    <cfRule type="cellIs" dxfId="18" priority="7" operator="greaterThan">
      <formula>0</formula>
    </cfRule>
    <cfRule type="cellIs" dxfId="17" priority="8" operator="lessThan">
      <formula>0</formula>
    </cfRule>
    <cfRule type="cellIs" dxfId="16" priority="9" operator="greaterThan">
      <formula>0</formula>
    </cfRule>
    <cfRule type="expression" dxfId="15" priority="10">
      <formula>"D11&lt;D12"</formula>
    </cfRule>
  </conditionalFormatting>
  <conditionalFormatting sqref="F2:G2 G3:G26">
    <cfRule type="cellIs" dxfId="14" priority="11" operator="lessThan">
      <formula>0</formula>
    </cfRule>
    <cfRule type="cellIs" dxfId="13" priority="12" operator="greaterThan">
      <formula>0</formula>
    </cfRule>
    <cfRule type="cellIs" dxfId="12" priority="13" operator="lessThan">
      <formula>0</formula>
    </cfRule>
    <cfRule type="cellIs" dxfId="11" priority="14" operator="greaterThan">
      <formula>0</formula>
    </cfRule>
    <cfRule type="expression" dxfId="10" priority="15">
      <formula>"D11&lt;D12"</formula>
    </cfRule>
  </conditionalFormatting>
  <conditionalFormatting sqref="G28:G58">
    <cfRule type="cellIs" dxfId="9" priority="1" operator="lessThan">
      <formula>0</formula>
    </cfRule>
    <cfRule type="cellIs" dxfId="8" priority="2" operator="greaterThan">
      <formula>0</formula>
    </cfRule>
    <cfRule type="cellIs" dxfId="7" priority="3" operator="lessThan">
      <formula>0</formula>
    </cfRule>
    <cfRule type="cellIs" dxfId="6" priority="4" operator="greaterThan">
      <formula>0</formula>
    </cfRule>
    <cfRule type="expression" dxfId="5" priority="5">
      <formula>"D11&lt;D12"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4EE5-6E93-4F5D-AF34-4EAEDCFD93EC}">
  <dimension ref="A1:AC43"/>
  <sheetViews>
    <sheetView zoomScale="70" zoomScaleNormal="70" workbookViewId="0">
      <selection activeCell="C29" sqref="C29"/>
    </sheetView>
  </sheetViews>
  <sheetFormatPr defaultRowHeight="12.75" x14ac:dyDescent="0.2"/>
  <cols>
    <col min="1" max="1" width="21" customWidth="1"/>
    <col min="2" max="2" width="29.1640625" customWidth="1"/>
    <col min="3" max="3" width="20.83203125" customWidth="1"/>
    <col min="4" max="4" width="15.6640625" customWidth="1"/>
    <col min="5" max="6" width="29.83203125" customWidth="1"/>
    <col min="7" max="7" width="19.83203125" customWidth="1"/>
    <col min="8" max="8" width="23.1640625" customWidth="1"/>
    <col min="9" max="9" width="16.5" customWidth="1"/>
    <col min="10" max="10" width="18.6640625" customWidth="1"/>
    <col min="11" max="12" width="29.83203125" customWidth="1"/>
    <col min="13" max="13" width="19.33203125" customWidth="1"/>
    <col min="14" max="14" width="18.83203125" customWidth="1"/>
    <col min="15" max="18" width="33.83203125" customWidth="1"/>
    <col min="19" max="19" width="42" customWidth="1"/>
    <col min="20" max="20" width="5.83203125" customWidth="1"/>
    <col min="21" max="21" width="9.33203125" customWidth="1"/>
    <col min="22" max="22" width="18.6640625" customWidth="1"/>
    <col min="23" max="23" width="9.33203125" customWidth="1"/>
    <col min="24" max="24" width="48.1640625" customWidth="1"/>
    <col min="25" max="30" width="9.33203125" customWidth="1"/>
  </cols>
  <sheetData>
    <row r="1" spans="1:29" ht="60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9" ht="21" customHeight="1" x14ac:dyDescent="0.2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9" ht="18.95" customHeight="1" x14ac:dyDescent="0.2">
      <c r="A3" s="34" t="s">
        <v>1</v>
      </c>
      <c r="B3" s="35"/>
      <c r="C3" s="35"/>
      <c r="D3" s="9"/>
      <c r="E3" s="39">
        <v>1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</row>
    <row r="4" spans="1:29" ht="18.95" customHeight="1" x14ac:dyDescent="0.2">
      <c r="A4" s="34" t="s">
        <v>2</v>
      </c>
      <c r="B4" s="35"/>
      <c r="C4" s="35"/>
      <c r="D4" s="9"/>
      <c r="E4" s="39">
        <v>31.103000000000002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</row>
    <row r="5" spans="1:29" ht="18.95" customHeight="1" x14ac:dyDescent="0.2">
      <c r="A5" s="34"/>
      <c r="B5" s="35"/>
      <c r="C5" s="35"/>
      <c r="D5" s="9"/>
      <c r="E5" s="36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8"/>
    </row>
    <row r="6" spans="1:29" ht="18.95" customHeight="1" x14ac:dyDescent="0.2">
      <c r="A6" s="34"/>
      <c r="B6" s="35"/>
      <c r="C6" s="35"/>
      <c r="D6" s="9"/>
      <c r="E6" s="39"/>
      <c r="F6" s="40"/>
      <c r="G6" s="40"/>
      <c r="H6" s="40"/>
      <c r="I6" s="40"/>
      <c r="J6" s="40">
        <f>G14/440</f>
        <v>31.018485000000002</v>
      </c>
      <c r="K6" s="40">
        <f>H14/440</f>
        <v>29.924014477272728</v>
      </c>
      <c r="L6" s="40"/>
      <c r="M6" s="40"/>
      <c r="N6" s="40"/>
      <c r="O6" s="40"/>
      <c r="P6" s="40"/>
      <c r="Q6" s="40"/>
      <c r="R6" s="40"/>
      <c r="S6" s="41"/>
    </row>
    <row r="7" spans="1:29" ht="18.95" customHeight="1" x14ac:dyDescent="0.2">
      <c r="A7" s="34"/>
      <c r="B7" s="35"/>
      <c r="C7" s="35"/>
      <c r="D7" s="9"/>
      <c r="E7" s="39"/>
      <c r="F7" s="40"/>
      <c r="G7" s="40"/>
      <c r="H7" s="40"/>
      <c r="I7" s="40"/>
      <c r="J7" s="95" t="s">
        <v>3</v>
      </c>
      <c r="K7" s="95"/>
      <c r="L7" s="40"/>
      <c r="M7" s="40"/>
      <c r="N7" s="40"/>
      <c r="O7" s="40"/>
      <c r="P7" s="40"/>
      <c r="Q7" s="40"/>
      <c r="R7" s="40"/>
      <c r="S7" s="41"/>
    </row>
    <row r="8" spans="1:29" ht="24.6" customHeight="1" x14ac:dyDescent="0.2">
      <c r="A8" s="31"/>
      <c r="B8" s="32"/>
      <c r="C8" s="32"/>
      <c r="D8" s="32"/>
      <c r="E8" s="50" t="s">
        <v>34</v>
      </c>
      <c r="F8" s="32"/>
      <c r="G8" s="32" t="s">
        <v>33</v>
      </c>
      <c r="H8" s="32" t="s">
        <v>32</v>
      </c>
      <c r="I8" s="32"/>
      <c r="J8" s="32" t="s">
        <v>33</v>
      </c>
      <c r="K8" s="32" t="s">
        <v>32</v>
      </c>
      <c r="L8" s="32"/>
      <c r="M8" s="32"/>
      <c r="N8" s="32"/>
      <c r="O8" s="32"/>
      <c r="P8" s="32"/>
      <c r="Q8" s="32"/>
      <c r="R8" s="32"/>
      <c r="S8" s="33"/>
    </row>
    <row r="9" spans="1:29" ht="45.75" customHeight="1" x14ac:dyDescent="0.2">
      <c r="A9" s="13" t="s">
        <v>4</v>
      </c>
      <c r="B9" s="14" t="s">
        <v>5</v>
      </c>
      <c r="C9" s="11" t="s">
        <v>28</v>
      </c>
      <c r="D9" s="11" t="s">
        <v>6</v>
      </c>
      <c r="E9" s="8" t="s">
        <v>7</v>
      </c>
      <c r="F9" s="8" t="s">
        <v>8</v>
      </c>
      <c r="G9" s="8" t="s">
        <v>24</v>
      </c>
      <c r="H9" s="8" t="s">
        <v>9</v>
      </c>
      <c r="I9" s="8" t="s">
        <v>10</v>
      </c>
      <c r="J9" s="8" t="s">
        <v>12</v>
      </c>
      <c r="K9" s="8" t="s">
        <v>11</v>
      </c>
      <c r="L9" s="8" t="s">
        <v>13</v>
      </c>
      <c r="M9" s="13" t="s">
        <v>14</v>
      </c>
      <c r="N9" s="13" t="s">
        <v>27</v>
      </c>
      <c r="O9" s="13" t="s">
        <v>15</v>
      </c>
      <c r="P9" s="13" t="s">
        <v>25</v>
      </c>
      <c r="Q9" s="13" t="s">
        <v>16</v>
      </c>
      <c r="R9" s="14" t="s">
        <v>17</v>
      </c>
      <c r="S9" s="14" t="s">
        <v>18</v>
      </c>
      <c r="V9" s="5"/>
      <c r="AA9" s="10">
        <v>13352.01</v>
      </c>
      <c r="AB9" s="9" t="s">
        <v>19</v>
      </c>
      <c r="AC9" s="1" t="s">
        <v>16</v>
      </c>
    </row>
    <row r="10" spans="1:29" ht="18.95" customHeight="1" x14ac:dyDescent="0.2">
      <c r="A10" s="3">
        <v>45908</v>
      </c>
      <c r="B10" s="23">
        <v>1</v>
      </c>
      <c r="C10" s="24">
        <v>13558.32</v>
      </c>
      <c r="D10" s="5">
        <f>C10</f>
        <v>13558.32</v>
      </c>
      <c r="E10" s="20">
        <v>13558.32</v>
      </c>
      <c r="F10" s="17">
        <f>E10-D10</f>
        <v>0</v>
      </c>
      <c r="G10" s="28"/>
      <c r="H10" s="29"/>
      <c r="I10" s="18"/>
      <c r="J10" s="27">
        <f>E10/31.1</f>
        <v>435.95884244372985</v>
      </c>
      <c r="K10" s="27"/>
      <c r="L10" s="15"/>
      <c r="M10" s="44">
        <v>437.5</v>
      </c>
      <c r="N10" s="47">
        <f>C10/31.1</f>
        <v>435.95884244372985</v>
      </c>
      <c r="O10" s="30">
        <f t="shared" ref="O10:O29" si="0">M10-J10</f>
        <v>1.5411575562701501</v>
      </c>
      <c r="P10" s="15"/>
      <c r="Q10" s="1">
        <v>429.35</v>
      </c>
      <c r="R10" s="1"/>
      <c r="S10" s="16"/>
      <c r="V10" s="5"/>
      <c r="AA10" s="10">
        <v>429.35</v>
      </c>
      <c r="AB10" s="9" t="s">
        <v>20</v>
      </c>
      <c r="AC10" s="1" t="s">
        <v>16</v>
      </c>
    </row>
    <row r="11" spans="1:29" ht="18.95" customHeight="1" x14ac:dyDescent="0.2">
      <c r="A11" s="3">
        <v>45909</v>
      </c>
      <c r="B11" s="25"/>
      <c r="C11" s="24"/>
      <c r="D11" s="5">
        <f>D10+C11</f>
        <v>13558.32</v>
      </c>
      <c r="E11" s="20">
        <v>13407.35</v>
      </c>
      <c r="F11" s="17">
        <f>E11-D11</f>
        <v>-150.96999999999935</v>
      </c>
      <c r="G11" s="28">
        <v>13648.133400000001</v>
      </c>
      <c r="H11" s="28">
        <v>13166.56637</v>
      </c>
      <c r="I11" s="19">
        <f t="shared" ref="I11:I31" si="1">G11-H11</f>
        <v>481.56703000000016</v>
      </c>
      <c r="J11" s="27">
        <f t="shared" ref="J11:J17" si="2">G11/31.1</f>
        <v>438.84673311897109</v>
      </c>
      <c r="K11" s="27">
        <f t="shared" ref="K11:K18" si="3">H11/31.103</f>
        <v>423.32142783654308</v>
      </c>
      <c r="L11" s="15">
        <f>J11-K11</f>
        <v>15.525305282428008</v>
      </c>
      <c r="M11" s="44">
        <v>440.5</v>
      </c>
      <c r="N11" s="47"/>
      <c r="O11" s="30">
        <f>M11-J11</f>
        <v>1.6532668810289124</v>
      </c>
      <c r="P11" s="30">
        <f t="shared" ref="P11:P22" si="4">M11-K11</f>
        <v>17.17857216345692</v>
      </c>
      <c r="Q11" s="1"/>
      <c r="R11" s="1"/>
      <c r="S11" s="1"/>
      <c r="V11" s="5"/>
      <c r="X11" s="12" t="s">
        <v>21</v>
      </c>
      <c r="AA11" s="10">
        <v>437.5</v>
      </c>
      <c r="AB11" s="9" t="s">
        <v>20</v>
      </c>
      <c r="AC11" s="1" t="s">
        <v>22</v>
      </c>
    </row>
    <row r="12" spans="1:29" ht="18.95" customHeight="1" x14ac:dyDescent="0.2">
      <c r="A12" s="3">
        <v>45910</v>
      </c>
      <c r="B12" s="25"/>
      <c r="C12" s="24"/>
      <c r="D12" s="5">
        <f>D11+C12</f>
        <v>13558.32</v>
      </c>
      <c r="E12" s="20">
        <v>13392.92</v>
      </c>
      <c r="F12" s="17">
        <f t="shared" ref="F12:F31" si="5">E12-D12</f>
        <v>-165.39999999999964</v>
      </c>
      <c r="G12" s="28">
        <v>13648.133400000001</v>
      </c>
      <c r="H12" s="29">
        <v>13166.56637</v>
      </c>
      <c r="I12" s="19">
        <f t="shared" si="1"/>
        <v>481.56703000000016</v>
      </c>
      <c r="J12" s="27">
        <f t="shared" si="2"/>
        <v>438.84673311897109</v>
      </c>
      <c r="K12" s="27">
        <f t="shared" si="3"/>
        <v>423.32142783654308</v>
      </c>
      <c r="L12" s="15">
        <f t="shared" ref="L12:L31" si="6">J12-K12</f>
        <v>15.525305282428008</v>
      </c>
      <c r="M12" s="44">
        <v>440</v>
      </c>
      <c r="N12" s="47"/>
      <c r="O12" s="30">
        <f t="shared" si="0"/>
        <v>1.1532668810289124</v>
      </c>
      <c r="P12" s="30">
        <f t="shared" si="4"/>
        <v>16.67857216345692</v>
      </c>
      <c r="Q12" s="1"/>
      <c r="R12" s="1"/>
      <c r="S12" s="6"/>
      <c r="V12" s="5"/>
    </row>
    <row r="13" spans="1:29" ht="18.95" customHeight="1" x14ac:dyDescent="0.2">
      <c r="A13" s="3">
        <v>45911</v>
      </c>
      <c r="B13" s="25"/>
      <c r="C13" s="24"/>
      <c r="D13" s="5">
        <f t="shared" ref="D13:D31" si="7">D12+C13</f>
        <v>13558.32</v>
      </c>
      <c r="E13" s="20">
        <v>13344.36</v>
      </c>
      <c r="F13" s="17">
        <f t="shared" si="5"/>
        <v>-213.95999999999913</v>
      </c>
      <c r="G13" s="28">
        <v>13648.133400000001</v>
      </c>
      <c r="H13" s="29">
        <v>13166.56637</v>
      </c>
      <c r="I13" s="19">
        <f t="shared" si="1"/>
        <v>481.56703000000016</v>
      </c>
      <c r="J13" s="27">
        <f t="shared" si="2"/>
        <v>438.84673311897109</v>
      </c>
      <c r="K13" s="27">
        <f t="shared" si="3"/>
        <v>423.32142783654308</v>
      </c>
      <c r="L13" s="15">
        <f t="shared" si="6"/>
        <v>15.525305282428008</v>
      </c>
      <c r="M13" s="44">
        <v>437.5</v>
      </c>
      <c r="N13" s="47"/>
      <c r="O13" s="30">
        <f t="shared" si="0"/>
        <v>-1.3467331189710876</v>
      </c>
      <c r="P13" s="30">
        <f t="shared" si="4"/>
        <v>14.17857216345692</v>
      </c>
      <c r="Q13" s="1"/>
      <c r="R13" s="19">
        <v>148.38919999999999</v>
      </c>
      <c r="S13" s="19">
        <v>153.34774999999999</v>
      </c>
      <c r="V13" s="5"/>
    </row>
    <row r="14" spans="1:29" ht="18.95" customHeight="1" x14ac:dyDescent="0.2">
      <c r="A14" s="3">
        <v>45912</v>
      </c>
      <c r="B14" s="25"/>
      <c r="C14" s="24"/>
      <c r="D14" s="5">
        <f t="shared" si="7"/>
        <v>13558.32</v>
      </c>
      <c r="E14" s="20">
        <v>13399.45</v>
      </c>
      <c r="F14" s="17">
        <f t="shared" si="5"/>
        <v>-158.86999999999898</v>
      </c>
      <c r="G14" s="28">
        <v>13648.133400000001</v>
      </c>
      <c r="H14" s="29">
        <v>13166.56637</v>
      </c>
      <c r="I14" s="19">
        <f t="shared" si="1"/>
        <v>481.56703000000016</v>
      </c>
      <c r="J14" s="27">
        <f t="shared" si="2"/>
        <v>438.84673311897109</v>
      </c>
      <c r="K14" s="27">
        <f t="shared" si="3"/>
        <v>423.32142783654308</v>
      </c>
      <c r="L14" s="15">
        <f t="shared" si="6"/>
        <v>15.525305282428008</v>
      </c>
      <c r="M14" s="44">
        <v>440</v>
      </c>
      <c r="N14" s="47"/>
      <c r="O14" s="30">
        <f t="shared" si="0"/>
        <v>1.1532668810289124</v>
      </c>
      <c r="P14" s="30">
        <f t="shared" si="4"/>
        <v>16.67857216345692</v>
      </c>
      <c r="Q14" s="1"/>
      <c r="R14" s="19">
        <v>148.38919999999999</v>
      </c>
      <c r="S14" s="19">
        <v>153.34774999999999</v>
      </c>
      <c r="V14" s="5"/>
    </row>
    <row r="15" spans="1:29" ht="18.95" customHeight="1" x14ac:dyDescent="0.2">
      <c r="A15" s="3">
        <v>45924</v>
      </c>
      <c r="B15" s="25"/>
      <c r="C15" s="24"/>
      <c r="D15" s="5">
        <f t="shared" si="7"/>
        <v>13558.32</v>
      </c>
      <c r="E15" s="20">
        <v>13828</v>
      </c>
      <c r="F15" s="17">
        <f t="shared" si="5"/>
        <v>269.68000000000029</v>
      </c>
      <c r="G15" s="28">
        <v>14068.61844</v>
      </c>
      <c r="H15" s="29">
        <v>13588.15331</v>
      </c>
      <c r="I15" s="19">
        <f t="shared" si="1"/>
        <v>480.4651300000005</v>
      </c>
      <c r="J15" s="27">
        <f t="shared" si="2"/>
        <v>452.36715241157555</v>
      </c>
      <c r="K15" s="27">
        <f t="shared" si="3"/>
        <v>436.87597048516216</v>
      </c>
      <c r="L15" s="15">
        <f t="shared" si="6"/>
        <v>15.49118192641339</v>
      </c>
      <c r="M15" s="44">
        <v>456</v>
      </c>
      <c r="N15" s="47"/>
      <c r="O15" s="26">
        <f t="shared" si="0"/>
        <v>3.632847588424454</v>
      </c>
      <c r="P15" s="1">
        <f t="shared" si="4"/>
        <v>19.124029514837844</v>
      </c>
      <c r="Q15" s="1"/>
      <c r="R15" s="19">
        <v>164.48025000000001</v>
      </c>
      <c r="S15" s="5">
        <v>159.54263</v>
      </c>
      <c r="V15" s="5"/>
    </row>
    <row r="16" spans="1:29" ht="18.95" customHeight="1" x14ac:dyDescent="0.2">
      <c r="A16" s="3" t="s">
        <v>23</v>
      </c>
      <c r="B16" s="25"/>
      <c r="C16" s="24"/>
      <c r="D16" s="5">
        <f t="shared" si="7"/>
        <v>13558.32</v>
      </c>
      <c r="E16" s="20">
        <v>13792.87</v>
      </c>
      <c r="F16" s="17">
        <f t="shared" si="5"/>
        <v>234.55000000000109</v>
      </c>
      <c r="G16" s="28">
        <v>14032.62304</v>
      </c>
      <c r="H16" s="29">
        <v>13553.11289</v>
      </c>
      <c r="I16" s="19">
        <f t="shared" si="1"/>
        <v>479.51015000000007</v>
      </c>
      <c r="J16" s="27">
        <f t="shared" si="2"/>
        <v>451.20974405144693</v>
      </c>
      <c r="K16" s="27">
        <f t="shared" si="3"/>
        <v>435.7493775520046</v>
      </c>
      <c r="L16" s="15">
        <f t="shared" si="6"/>
        <v>15.46036649944233</v>
      </c>
      <c r="M16" s="44">
        <v>453.25</v>
      </c>
      <c r="N16" s="47"/>
      <c r="O16" s="26">
        <f t="shared" si="0"/>
        <v>2.0402559485530674</v>
      </c>
      <c r="P16" s="1">
        <f t="shared" si="4"/>
        <v>17.500622447995397</v>
      </c>
      <c r="Q16" s="1"/>
      <c r="R16" s="5">
        <v>164.16399999999999</v>
      </c>
      <c r="S16" s="19">
        <v>168.99619999999999</v>
      </c>
      <c r="V16" s="5"/>
    </row>
    <row r="17" spans="1:22" ht="18.95" customHeight="1" x14ac:dyDescent="0.2">
      <c r="A17" s="3">
        <v>45932</v>
      </c>
      <c r="B17" s="25"/>
      <c r="C17" s="24"/>
      <c r="D17" s="5">
        <f t="shared" si="7"/>
        <v>13558.32</v>
      </c>
      <c r="E17" s="20">
        <v>14260.64</v>
      </c>
      <c r="F17" s="17">
        <f t="shared" si="5"/>
        <v>702.31999999999971</v>
      </c>
      <c r="G17" s="28">
        <v>14336.453600000001</v>
      </c>
      <c r="H17" s="29">
        <v>14215.097680000001</v>
      </c>
      <c r="I17" s="19">
        <f t="shared" si="1"/>
        <v>121.35591999999997</v>
      </c>
      <c r="J17" s="27">
        <f t="shared" si="2"/>
        <v>460.97921543408359</v>
      </c>
      <c r="K17" s="27">
        <f t="shared" si="3"/>
        <v>457.03300903449826</v>
      </c>
      <c r="L17" s="15">
        <f t="shared" si="6"/>
        <v>3.9462063995853214</v>
      </c>
      <c r="M17" s="44">
        <v>467.25</v>
      </c>
      <c r="N17" s="47"/>
      <c r="O17" s="26">
        <f t="shared" si="0"/>
        <v>6.270784565916415</v>
      </c>
      <c r="P17" s="1">
        <f t="shared" si="4"/>
        <v>10.216990965501736</v>
      </c>
      <c r="Q17" s="1"/>
      <c r="R17" s="1"/>
      <c r="S17" s="5"/>
      <c r="V17" s="5"/>
    </row>
    <row r="18" spans="1:22" ht="18.95" customHeight="1" x14ac:dyDescent="0.2">
      <c r="A18" s="3">
        <v>45938</v>
      </c>
      <c r="B18" s="25"/>
      <c r="C18" s="24"/>
      <c r="D18" s="5">
        <f t="shared" si="7"/>
        <v>13558.32</v>
      </c>
      <c r="E18" s="20">
        <v>14826.34</v>
      </c>
      <c r="F18" s="17">
        <f t="shared" si="5"/>
        <v>1268.0200000000004</v>
      </c>
      <c r="G18" s="28">
        <v>14897.02686</v>
      </c>
      <c r="H18" s="29">
        <v>14775.41383</v>
      </c>
      <c r="I18" s="19">
        <f t="shared" si="1"/>
        <v>121.61303000000044</v>
      </c>
      <c r="J18" s="27">
        <f>G18/31.103</f>
        <v>478.95787737517281</v>
      </c>
      <c r="K18" s="27">
        <f t="shared" si="3"/>
        <v>475.04786772980094</v>
      </c>
      <c r="L18" s="15">
        <f t="shared" si="6"/>
        <v>3.910009645371872</v>
      </c>
      <c r="M18" s="44">
        <v>485.25</v>
      </c>
      <c r="N18" s="47"/>
      <c r="O18" s="26">
        <f t="shared" si="0"/>
        <v>6.2921226248271864</v>
      </c>
      <c r="P18" s="1">
        <f t="shared" si="4"/>
        <v>10.202132270199058</v>
      </c>
      <c r="Q18" s="1"/>
      <c r="R18" s="1"/>
      <c r="S18" s="5"/>
      <c r="V18" s="5"/>
    </row>
    <row r="19" spans="1:22" ht="18.95" customHeight="1" x14ac:dyDescent="0.2">
      <c r="A19" s="3" t="s">
        <v>26</v>
      </c>
      <c r="B19" s="25"/>
      <c r="C19" s="24">
        <v>14733.58</v>
      </c>
      <c r="D19" s="5">
        <f t="shared" si="7"/>
        <v>28291.9</v>
      </c>
      <c r="E19" s="24">
        <v>29345.91</v>
      </c>
      <c r="F19" s="17">
        <f t="shared" si="5"/>
        <v>1054.0099999999984</v>
      </c>
      <c r="G19" s="29">
        <v>14749.592640000001</v>
      </c>
      <c r="H19" s="29">
        <v>14625.812540000001</v>
      </c>
      <c r="I19" s="19">
        <f t="shared" si="1"/>
        <v>123.78009999999995</v>
      </c>
      <c r="J19" s="27">
        <f>G19/31.1</f>
        <v>474.26342893890677</v>
      </c>
      <c r="K19" s="27">
        <f>H19/31.1</f>
        <v>470.28336141479099</v>
      </c>
      <c r="L19" s="15">
        <f t="shared" si="6"/>
        <v>3.9800675241157819</v>
      </c>
      <c r="M19" s="44">
        <v>481.5</v>
      </c>
      <c r="N19" s="47">
        <f>C19/31.1</f>
        <v>473.74855305466235</v>
      </c>
      <c r="O19" s="26">
        <f t="shared" si="0"/>
        <v>7.2365710610932297</v>
      </c>
      <c r="P19" s="1">
        <f t="shared" si="4"/>
        <v>11.216638585209012</v>
      </c>
      <c r="Q19" s="1"/>
      <c r="R19" s="1"/>
      <c r="S19" s="5"/>
      <c r="V19" s="5"/>
    </row>
    <row r="20" spans="1:22" ht="18.95" customHeight="1" x14ac:dyDescent="0.2">
      <c r="A20" s="3" t="s">
        <v>29</v>
      </c>
      <c r="B20" s="25"/>
      <c r="C20" s="24"/>
      <c r="D20" s="5">
        <f t="shared" si="7"/>
        <v>28291.9</v>
      </c>
      <c r="E20" s="20">
        <v>29909.200000000001</v>
      </c>
      <c r="F20" s="17">
        <f t="shared" si="5"/>
        <v>1617.2999999999993</v>
      </c>
      <c r="G20" s="28">
        <v>15016.509550000001</v>
      </c>
      <c r="H20" s="29">
        <v>14892.692719999999</v>
      </c>
      <c r="I20" s="19">
        <f t="shared" si="1"/>
        <v>123.81683000000157</v>
      </c>
      <c r="J20" s="27">
        <f t="shared" ref="J20:K24" si="8">G20/31.103</f>
        <v>482.79939394913674</v>
      </c>
      <c r="K20" s="27">
        <f t="shared" si="8"/>
        <v>478.8185294023084</v>
      </c>
      <c r="L20" s="15">
        <f t="shared" si="6"/>
        <v>3.980864546828343</v>
      </c>
      <c r="M20" s="44">
        <v>490.5</v>
      </c>
      <c r="N20" s="47"/>
      <c r="O20" s="26">
        <f t="shared" si="0"/>
        <v>7.7006060508632572</v>
      </c>
      <c r="P20" s="1">
        <f t="shared" si="4"/>
        <v>11.6814705976916</v>
      </c>
      <c r="Q20" s="1"/>
      <c r="R20" s="1"/>
      <c r="S20" s="5"/>
      <c r="V20" s="5"/>
    </row>
    <row r="21" spans="1:22" ht="18.95" customHeight="1" x14ac:dyDescent="0.2">
      <c r="A21" s="3"/>
      <c r="B21" s="25"/>
      <c r="C21" s="24"/>
      <c r="D21" s="5">
        <f t="shared" si="7"/>
        <v>28291.9</v>
      </c>
      <c r="E21" s="21">
        <v>31609.47</v>
      </c>
      <c r="F21" s="17">
        <f t="shared" si="5"/>
        <v>3317.5699999999997</v>
      </c>
      <c r="G21" s="29">
        <v>16045.83107</v>
      </c>
      <c r="H21" s="29">
        <v>15563.63963</v>
      </c>
      <c r="I21" s="19">
        <f t="shared" si="1"/>
        <v>482.19144000000051</v>
      </c>
      <c r="J21" s="27">
        <f t="shared" si="8"/>
        <v>515.89335658939649</v>
      </c>
      <c r="K21" s="27">
        <f t="shared" si="8"/>
        <v>500.390304150725</v>
      </c>
      <c r="L21" s="15">
        <f t="shared" si="6"/>
        <v>15.503052438671489</v>
      </c>
      <c r="M21" s="44">
        <v>512.25</v>
      </c>
      <c r="N21" s="47"/>
      <c r="O21" s="26">
        <f t="shared" si="0"/>
        <v>-3.6433565893964897</v>
      </c>
      <c r="P21" s="1">
        <f t="shared" si="4"/>
        <v>11.859695849274999</v>
      </c>
      <c r="Q21" s="1"/>
      <c r="R21" s="1"/>
      <c r="S21" s="5"/>
      <c r="V21" s="5"/>
    </row>
    <row r="22" spans="1:22" ht="18.95" customHeight="1" x14ac:dyDescent="0.2">
      <c r="A22" s="3" t="s">
        <v>30</v>
      </c>
      <c r="B22" s="25"/>
      <c r="C22" s="24"/>
      <c r="D22" s="5">
        <f t="shared" si="7"/>
        <v>28291.9</v>
      </c>
      <c r="E22" s="22">
        <v>29205.71</v>
      </c>
      <c r="F22" s="17">
        <f t="shared" si="5"/>
        <v>913.80999999999767</v>
      </c>
      <c r="G22" s="29">
        <v>14843.80509</v>
      </c>
      <c r="H22" s="29">
        <v>14361.90749</v>
      </c>
      <c r="I22" s="19">
        <f t="shared" si="1"/>
        <v>481.89760000000024</v>
      </c>
      <c r="J22" s="27">
        <f t="shared" si="8"/>
        <v>477.2467315049995</v>
      </c>
      <c r="K22" s="27">
        <f t="shared" si="8"/>
        <v>461.75312638652218</v>
      </c>
      <c r="L22" s="15">
        <f t="shared" si="6"/>
        <v>15.493605118477319</v>
      </c>
      <c r="M22" s="44">
        <v>481.5</v>
      </c>
      <c r="N22" s="47"/>
      <c r="O22" s="26">
        <f t="shared" si="0"/>
        <v>4.2532684950004978</v>
      </c>
      <c r="P22" s="1">
        <f t="shared" si="4"/>
        <v>19.746873613477817</v>
      </c>
      <c r="Q22" s="1"/>
      <c r="R22" s="1"/>
      <c r="S22" s="6"/>
      <c r="V22" s="5"/>
    </row>
    <row r="23" spans="1:22" ht="18.95" customHeight="1" x14ac:dyDescent="0.2">
      <c r="A23" s="3" t="s">
        <v>31</v>
      </c>
      <c r="B23" s="25"/>
      <c r="C23" s="24"/>
      <c r="D23" s="5">
        <f t="shared" si="7"/>
        <v>28291.9</v>
      </c>
      <c r="E23" s="22">
        <v>33002.239999999998</v>
      </c>
      <c r="F23" s="17">
        <f t="shared" si="5"/>
        <v>4710.3399999999965</v>
      </c>
      <c r="G23" s="29">
        <v>16967.489249999999</v>
      </c>
      <c r="H23" s="29">
        <v>16034.74632</v>
      </c>
      <c r="I23" s="19">
        <f t="shared" si="1"/>
        <v>932.74292999999852</v>
      </c>
      <c r="J23" s="27">
        <f t="shared" si="8"/>
        <v>545.52580940745258</v>
      </c>
      <c r="K23" s="27">
        <f t="shared" si="8"/>
        <v>515.53696813812167</v>
      </c>
      <c r="L23" s="15">
        <f t="shared" si="6"/>
        <v>29.988841269330919</v>
      </c>
      <c r="M23" s="44"/>
      <c r="N23" s="47"/>
      <c r="O23" s="26">
        <f t="shared" si="0"/>
        <v>-545.52580940745258</v>
      </c>
      <c r="P23" s="1"/>
      <c r="Q23" s="1"/>
      <c r="R23" s="1"/>
      <c r="S23" s="5"/>
      <c r="V23" s="5"/>
    </row>
    <row r="24" spans="1:22" ht="18.95" customHeight="1" x14ac:dyDescent="0.2">
      <c r="A24" s="3" t="s">
        <v>35</v>
      </c>
      <c r="B24" s="25"/>
      <c r="C24" s="24"/>
      <c r="D24" s="5">
        <f t="shared" si="7"/>
        <v>28291.9</v>
      </c>
      <c r="E24" s="22">
        <v>33689.78</v>
      </c>
      <c r="F24" s="17">
        <f t="shared" si="5"/>
        <v>5397.8799999999974</v>
      </c>
      <c r="G24" s="29">
        <v>17001.439149999998</v>
      </c>
      <c r="H24" s="29">
        <v>16688.343819999998</v>
      </c>
      <c r="I24" s="19">
        <f t="shared" si="1"/>
        <v>313.0953300000001</v>
      </c>
      <c r="J24" s="27">
        <f t="shared" si="8"/>
        <v>546.61734077098663</v>
      </c>
      <c r="K24" s="27">
        <f t="shared" si="8"/>
        <v>536.55093785165411</v>
      </c>
      <c r="L24" s="15">
        <f t="shared" si="6"/>
        <v>10.066402919332518</v>
      </c>
      <c r="M24" s="44">
        <v>554</v>
      </c>
      <c r="N24" s="47"/>
      <c r="O24" s="26">
        <f t="shared" si="0"/>
        <v>7.3826592290133704</v>
      </c>
      <c r="P24" s="1"/>
      <c r="Q24" s="1"/>
      <c r="R24" s="1"/>
      <c r="S24" s="5"/>
      <c r="V24" s="5"/>
    </row>
    <row r="25" spans="1:22" ht="18.95" customHeight="1" x14ac:dyDescent="0.2">
      <c r="A25" s="3" t="s">
        <v>37</v>
      </c>
      <c r="B25" s="25"/>
      <c r="C25" s="24"/>
      <c r="D25" s="5">
        <f t="shared" si="7"/>
        <v>28291.9</v>
      </c>
      <c r="E25" s="22">
        <v>33689.78</v>
      </c>
      <c r="F25" s="17">
        <f t="shared" si="5"/>
        <v>5397.8799999999974</v>
      </c>
      <c r="G25" s="29">
        <v>17353.15425</v>
      </c>
      <c r="H25" s="29">
        <v>16420.044020000001</v>
      </c>
      <c r="I25" s="19">
        <f t="shared" si="1"/>
        <v>933.11022999999841</v>
      </c>
      <c r="J25" s="27">
        <f t="shared" ref="J25:K27" si="9">G25/31.103</f>
        <v>557.92541716233154</v>
      </c>
      <c r="K25" s="27">
        <f t="shared" si="9"/>
        <v>527.92476674275792</v>
      </c>
      <c r="L25" s="15">
        <f t="shared" si="6"/>
        <v>30.000650419573617</v>
      </c>
      <c r="M25" s="44">
        <v>550</v>
      </c>
      <c r="N25" s="47"/>
      <c r="O25" s="26">
        <f t="shared" si="0"/>
        <v>-7.9254171623315415</v>
      </c>
      <c r="P25" s="1"/>
      <c r="Q25" s="1"/>
      <c r="R25" s="1"/>
      <c r="S25" s="6"/>
      <c r="V25" s="5"/>
    </row>
    <row r="26" spans="1:22" ht="18.95" customHeight="1" x14ac:dyDescent="0.2">
      <c r="A26" s="3" t="s">
        <v>38</v>
      </c>
      <c r="B26" s="25"/>
      <c r="C26" s="24">
        <v>17286</v>
      </c>
      <c r="D26" s="5">
        <f t="shared" si="7"/>
        <v>45577.9</v>
      </c>
      <c r="E26" s="22">
        <v>51409.64</v>
      </c>
      <c r="F26" s="17">
        <f t="shared" si="5"/>
        <v>5831.739999999998</v>
      </c>
      <c r="G26" s="29">
        <v>17285.649649999999</v>
      </c>
      <c r="H26" s="29">
        <v>16973.449789999999</v>
      </c>
      <c r="I26" s="19">
        <f t="shared" si="1"/>
        <v>312.19986000000063</v>
      </c>
      <c r="J26" s="27">
        <f t="shared" si="9"/>
        <v>555.75506060508633</v>
      </c>
      <c r="K26" s="27">
        <f t="shared" si="9"/>
        <v>545.71744815612635</v>
      </c>
      <c r="L26" s="15">
        <f t="shared" si="6"/>
        <v>10.037612448959976</v>
      </c>
      <c r="M26" s="44">
        <v>562</v>
      </c>
      <c r="N26" s="47">
        <f>C26/31.1</f>
        <v>555.81993569131828</v>
      </c>
      <c r="O26" s="26">
        <f t="shared" si="0"/>
        <v>6.244939394913672</v>
      </c>
      <c r="P26" s="1"/>
      <c r="Q26" s="1"/>
      <c r="R26" s="1"/>
      <c r="S26" s="5"/>
      <c r="V26" s="5"/>
    </row>
    <row r="27" spans="1:22" ht="18.95" customHeight="1" x14ac:dyDescent="0.2">
      <c r="A27" s="3" t="s">
        <v>39</v>
      </c>
      <c r="B27" s="25"/>
      <c r="C27" s="24"/>
      <c r="D27" s="5">
        <f t="shared" si="7"/>
        <v>45577.9</v>
      </c>
      <c r="E27" s="22">
        <v>53614.65</v>
      </c>
      <c r="F27" s="17">
        <f t="shared" si="5"/>
        <v>8036.75</v>
      </c>
      <c r="G27" s="29">
        <v>18029.983100000001</v>
      </c>
      <c r="H27" s="29">
        <v>17717.489399999999</v>
      </c>
      <c r="I27" s="19">
        <f t="shared" si="1"/>
        <v>312.49370000000272</v>
      </c>
      <c r="J27" s="27">
        <f t="shared" si="9"/>
        <v>579.68630357200266</v>
      </c>
      <c r="K27" s="27">
        <f t="shared" si="9"/>
        <v>569.63924380284857</v>
      </c>
      <c r="L27" s="15">
        <f t="shared" si="6"/>
        <v>10.047059769154089</v>
      </c>
      <c r="M27" s="44">
        <v>586.25</v>
      </c>
      <c r="N27" s="47"/>
      <c r="O27" s="26">
        <f t="shared" si="0"/>
        <v>6.5636964279973427</v>
      </c>
      <c r="P27" s="1"/>
      <c r="Q27" s="1"/>
      <c r="R27" s="1"/>
      <c r="S27" s="5"/>
      <c r="V27" s="6"/>
    </row>
    <row r="28" spans="1:22" ht="18.95" customHeight="1" x14ac:dyDescent="0.2">
      <c r="A28" s="3" t="s">
        <v>39</v>
      </c>
      <c r="B28" s="25"/>
      <c r="C28" s="24"/>
      <c r="D28" s="5">
        <f t="shared" si="7"/>
        <v>45577.9</v>
      </c>
      <c r="E28" s="22">
        <v>54468.4</v>
      </c>
      <c r="F28" s="17">
        <f t="shared" si="5"/>
        <v>8890.5</v>
      </c>
      <c r="G28" s="29">
        <v>17618.098389999999</v>
      </c>
      <c r="H28" s="29">
        <v>16685.644899999999</v>
      </c>
      <c r="I28" s="19">
        <f t="shared" si="1"/>
        <v>932.45348999999987</v>
      </c>
      <c r="J28" s="27">
        <f>G28/31.103</f>
        <v>566.44369964312114</v>
      </c>
      <c r="K28" s="27">
        <f>H28/31.103</f>
        <v>536.46416422853099</v>
      </c>
      <c r="L28" s="15">
        <f t="shared" si="6"/>
        <v>29.979535414590146</v>
      </c>
      <c r="M28" s="44">
        <v>580.5</v>
      </c>
      <c r="N28" s="47"/>
      <c r="O28" s="26">
        <f t="shared" si="0"/>
        <v>14.056300356878864</v>
      </c>
      <c r="P28" s="1"/>
      <c r="Q28" s="1"/>
      <c r="R28" s="1"/>
      <c r="S28" s="5"/>
      <c r="V28" s="5"/>
    </row>
    <row r="29" spans="1:22" ht="18.95" customHeight="1" x14ac:dyDescent="0.2">
      <c r="A29" s="3" t="s">
        <v>40</v>
      </c>
      <c r="B29" s="25"/>
      <c r="C29" s="24"/>
      <c r="D29" s="5">
        <f t="shared" si="7"/>
        <v>45577.9</v>
      </c>
      <c r="E29" s="22"/>
      <c r="F29" s="17">
        <f t="shared" si="5"/>
        <v>-45577.9</v>
      </c>
      <c r="G29" s="29">
        <v>18621.404419999999</v>
      </c>
      <c r="H29" s="29">
        <v>17690.865290000002</v>
      </c>
      <c r="I29" s="19">
        <f t="shared" si="1"/>
        <v>930.53912999999739</v>
      </c>
      <c r="J29" s="27">
        <f>G29/31.103</f>
        <v>598.70123203549485</v>
      </c>
      <c r="K29" s="27">
        <f>H29/31.103</f>
        <v>568.78324566762046</v>
      </c>
      <c r="L29" s="15">
        <f t="shared" si="6"/>
        <v>29.917986367874391</v>
      </c>
      <c r="M29" s="44">
        <v>601</v>
      </c>
      <c r="N29" s="47">
        <f>G29/31.1</f>
        <v>598.75898456591631</v>
      </c>
      <c r="O29" s="26">
        <f t="shared" si="0"/>
        <v>2.2987679645051458</v>
      </c>
      <c r="P29" s="1"/>
      <c r="Q29" s="1"/>
      <c r="R29" s="1"/>
      <c r="S29" s="5"/>
      <c r="V29" s="5"/>
    </row>
    <row r="30" spans="1:22" ht="18.95" customHeight="1" x14ac:dyDescent="0.2">
      <c r="A30" s="3"/>
      <c r="B30" s="25"/>
      <c r="C30" s="24"/>
      <c r="D30" s="5">
        <f t="shared" si="7"/>
        <v>45577.9</v>
      </c>
      <c r="E30" s="22"/>
      <c r="F30" s="17">
        <f t="shared" si="5"/>
        <v>-45577.9</v>
      </c>
      <c r="G30" s="29"/>
      <c r="H30" s="29"/>
      <c r="I30" s="19">
        <f t="shared" si="1"/>
        <v>0</v>
      </c>
      <c r="J30" s="27">
        <f>E30/31.103</f>
        <v>0</v>
      </c>
      <c r="K30" s="27">
        <f>H30/31.103</f>
        <v>0</v>
      </c>
      <c r="L30" s="15">
        <f t="shared" si="6"/>
        <v>0</v>
      </c>
      <c r="M30" s="44"/>
      <c r="N30" s="44"/>
      <c r="O30" s="26"/>
      <c r="P30" s="1"/>
      <c r="Q30" s="1"/>
      <c r="R30" s="1"/>
      <c r="S30" s="5"/>
      <c r="V30" s="5"/>
    </row>
    <row r="31" spans="1:22" ht="18.95" customHeight="1" x14ac:dyDescent="0.2">
      <c r="A31" s="3"/>
      <c r="B31" s="25"/>
      <c r="C31" s="24"/>
      <c r="D31" s="5">
        <f t="shared" si="7"/>
        <v>45577.9</v>
      </c>
      <c r="E31" s="22"/>
      <c r="F31" s="17">
        <f t="shared" si="5"/>
        <v>-45577.9</v>
      </c>
      <c r="G31" s="29"/>
      <c r="H31" s="29"/>
      <c r="I31" s="19">
        <f t="shared" si="1"/>
        <v>0</v>
      </c>
      <c r="J31" s="27">
        <f>E31/31.103</f>
        <v>0</v>
      </c>
      <c r="K31" s="27">
        <f>H31/31.103</f>
        <v>0</v>
      </c>
      <c r="L31" s="15">
        <f t="shared" si="6"/>
        <v>0</v>
      </c>
      <c r="M31" s="44"/>
      <c r="N31" s="44"/>
      <c r="O31" s="26"/>
      <c r="P31" s="1"/>
      <c r="Q31" s="1"/>
      <c r="R31" s="1"/>
      <c r="S31" s="5"/>
      <c r="V31" s="5"/>
    </row>
    <row r="32" spans="1:22" ht="18.95" customHeight="1" x14ac:dyDescent="0.2">
      <c r="A32" s="3"/>
      <c r="B32" s="4"/>
      <c r="C32" s="4"/>
      <c r="D32" s="93"/>
      <c r="E32" s="94"/>
      <c r="F32" s="2"/>
      <c r="G32" s="2"/>
      <c r="H32" s="2"/>
      <c r="I32" s="2"/>
      <c r="J32" s="2"/>
      <c r="K32" s="2"/>
      <c r="L32" s="2"/>
      <c r="M32" s="1"/>
      <c r="N32" s="1"/>
      <c r="O32" s="1"/>
      <c r="P32" s="1"/>
      <c r="Q32" s="1"/>
      <c r="R32" s="1"/>
      <c r="S32" s="5"/>
      <c r="V32" s="5"/>
    </row>
    <row r="33" spans="1:22" ht="18.95" customHeight="1" x14ac:dyDescent="0.2">
      <c r="A33" s="3"/>
      <c r="B33" s="4"/>
      <c r="C33" s="4"/>
      <c r="D33" s="93"/>
      <c r="E33" s="94"/>
      <c r="F33" s="2"/>
      <c r="G33" s="2"/>
      <c r="H33" s="2"/>
      <c r="I33" s="2"/>
      <c r="J33" s="2"/>
      <c r="K33" s="2"/>
      <c r="L33" s="2"/>
      <c r="M33" s="1"/>
      <c r="N33" s="1"/>
      <c r="O33" s="1"/>
      <c r="P33" s="1"/>
      <c r="Q33" s="1"/>
      <c r="R33" s="1"/>
      <c r="S33" s="6"/>
      <c r="V33" s="5"/>
    </row>
    <row r="34" spans="1:22" ht="18.95" customHeight="1" x14ac:dyDescent="0.2">
      <c r="A34" s="3"/>
      <c r="B34" s="4"/>
      <c r="C34" s="4"/>
      <c r="D34" s="93"/>
      <c r="E34" s="94"/>
      <c r="F34" s="46"/>
      <c r="G34" s="2"/>
      <c r="H34" s="2"/>
      <c r="I34" s="2"/>
      <c r="J34" s="2"/>
      <c r="K34" s="2"/>
      <c r="L34" s="2"/>
      <c r="M34" s="1"/>
      <c r="N34" s="1"/>
      <c r="O34" s="1"/>
      <c r="P34" s="1"/>
      <c r="Q34" s="1"/>
      <c r="R34" s="1"/>
      <c r="S34" s="5"/>
      <c r="V34" s="5"/>
    </row>
    <row r="35" spans="1:22" ht="18.95" customHeight="1" x14ac:dyDescent="0.2">
      <c r="A35" s="3"/>
      <c r="B35" s="4"/>
      <c r="C35" s="4"/>
      <c r="D35" s="93"/>
      <c r="E35" s="94"/>
      <c r="F35" s="2"/>
      <c r="G35" s="29"/>
      <c r="H35" s="29"/>
      <c r="I35" s="2"/>
      <c r="J35" s="2"/>
      <c r="K35" s="2"/>
      <c r="L35" s="2"/>
      <c r="M35" s="1"/>
      <c r="N35" s="48">
        <f>(SUM(N10:N26))/3</f>
        <v>488.50911039657012</v>
      </c>
      <c r="O35" s="1"/>
      <c r="P35" s="1"/>
      <c r="Q35" s="1"/>
      <c r="R35" s="1"/>
      <c r="S35" s="5"/>
      <c r="V35" s="7"/>
    </row>
    <row r="38" spans="1:22" x14ac:dyDescent="0.2">
      <c r="N38" s="49"/>
    </row>
    <row r="39" spans="1:22" ht="22.5" customHeight="1" x14ac:dyDescent="0.2">
      <c r="F39">
        <f>H29*3</f>
        <v>53072.595870000005</v>
      </c>
      <c r="G39">
        <f>E28-F39</f>
        <v>1395.8041299999968</v>
      </c>
    </row>
    <row r="40" spans="1:22" ht="15" x14ac:dyDescent="0.2">
      <c r="B40" s="3" t="s">
        <v>35</v>
      </c>
      <c r="C40" s="24">
        <v>16983.63</v>
      </c>
      <c r="D40" s="45" t="s">
        <v>36</v>
      </c>
      <c r="E40" s="24">
        <f>C40/31.1</f>
        <v>546.09742765273313</v>
      </c>
      <c r="G40" s="7"/>
    </row>
    <row r="41" spans="1:22" ht="15" x14ac:dyDescent="0.2">
      <c r="B41" s="3" t="s">
        <v>37</v>
      </c>
      <c r="C41" s="24">
        <v>17353.15425</v>
      </c>
      <c r="E41" s="24">
        <f>C41/31.1</f>
        <v>557.97923633440507</v>
      </c>
    </row>
    <row r="42" spans="1:22" ht="15" x14ac:dyDescent="0.2">
      <c r="B42" s="3" t="s">
        <v>38</v>
      </c>
      <c r="C42" s="29">
        <v>17285.649649999999</v>
      </c>
      <c r="E42" s="24">
        <f>C42/31.1</f>
        <v>555.80867041800639</v>
      </c>
    </row>
    <row r="43" spans="1:22" ht="15" x14ac:dyDescent="0.2">
      <c r="B43" s="3" t="s">
        <v>39</v>
      </c>
      <c r="C43" s="29">
        <v>18029.983100000001</v>
      </c>
      <c r="E43" s="24">
        <f>C43/31.1</f>
        <v>579.74222186495183</v>
      </c>
    </row>
  </sheetData>
  <mergeCells count="5">
    <mergeCell ref="D32:E32"/>
    <mergeCell ref="D33:E33"/>
    <mergeCell ref="D34:E34"/>
    <mergeCell ref="D35:E35"/>
    <mergeCell ref="J7:K7"/>
  </mergeCells>
  <conditionalFormatting sqref="F10:F31">
    <cfRule type="cellIs" dxfId="4" priority="1" operator="lessThan">
      <formula>0</formula>
    </cfRule>
    <cfRule type="cellIs" dxfId="3" priority="2" operator="greaterThan">
      <formula>0</formula>
    </cfRule>
    <cfRule type="cellIs" dxfId="2" priority="3" operator="lessThan">
      <formula>0</formula>
    </cfRule>
    <cfRule type="cellIs" dxfId="1" priority="4" operator="greaterThan">
      <formula>0</formula>
    </cfRule>
    <cfRule type="expression" dxfId="0" priority="5">
      <formula>"D11&lt;D12"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4534-1A00-44C5-937A-3E7E5546F7B2}">
  <dimension ref="A1:A5"/>
  <sheetViews>
    <sheetView workbookViewId="0">
      <selection activeCell="E9" sqref="E9"/>
    </sheetView>
  </sheetViews>
  <sheetFormatPr defaultRowHeight="12.75" x14ac:dyDescent="0.2"/>
  <sheetData>
    <row r="1" spans="1:1" x14ac:dyDescent="0.2">
      <c r="A1">
        <v>76261.37</v>
      </c>
    </row>
    <row r="2" spans="1:1" x14ac:dyDescent="0.2">
      <c r="A2">
        <v>75268.789999999994</v>
      </c>
    </row>
    <row r="3" spans="1:1" x14ac:dyDescent="0.2">
      <c r="A3">
        <v>800115.02</v>
      </c>
    </row>
    <row r="4" spans="1:1" x14ac:dyDescent="0.2">
      <c r="A4">
        <v>30002.32</v>
      </c>
    </row>
    <row r="5" spans="1:1" x14ac:dyDescent="0.2">
      <c r="A5">
        <v>10000.39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e558cee3-a297-449c-b5c0-354695d37a90" origin="userSelected"/>
</file>

<file path=customXml/itemProps1.xml><?xml version="1.0" encoding="utf-8"?>
<ds:datastoreItem xmlns:ds="http://schemas.openxmlformats.org/officeDocument/2006/customXml" ds:itemID="{AF62BEAD-1681-4AED-B845-CC70A47A400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1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Shakeel Awan</cp:lastModifiedBy>
  <cp:revision/>
  <dcterms:created xsi:type="dcterms:W3CDTF">2022-06-01T08:28:11Z</dcterms:created>
  <dcterms:modified xsi:type="dcterms:W3CDTF">2026-06-25T08:22:59Z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b51b8af0-3887-45c4-a295-e9223e5fc7f6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G50voM0Sido69yqMmr2xAN99mcLN7MEA</vt:lpwstr>
  </property>
  <property fmtid="{D5CDD505-2E9C-101B-9397-08002B2CF9AE}" pid="5" name="bjClsUserRVM">
    <vt:lpwstr>[]</vt:lpwstr>
  </property>
</Properties>
</file>