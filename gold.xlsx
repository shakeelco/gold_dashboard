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799" documentId="13_ncr:1_{851D1004-1C5D-48B9-BE48-07C0F232C6FB}" xr6:coauthVersionLast="47" xr6:coauthVersionMax="47" xr10:uidLastSave="{0B5AD685-ECBC-46B8-93A5-F7FAE7C57C26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" i="3" l="1"/>
  <c r="Q37" i="3"/>
  <c r="M37" i="3"/>
  <c r="L37" i="3"/>
  <c r="J37" i="3"/>
  <c r="K37" i="3"/>
  <c r="E37" i="3"/>
  <c r="F37" i="3" s="1"/>
  <c r="D37" i="3"/>
  <c r="I44" i="3"/>
  <c r="J36" i="3"/>
  <c r="K36" i="3"/>
  <c r="P36" i="3" s="1"/>
  <c r="L36" i="3"/>
  <c r="Q36" i="3" s="1"/>
  <c r="G35" i="3"/>
  <c r="J35" i="3"/>
  <c r="L35" i="3"/>
  <c r="Q35" i="3" s="1"/>
  <c r="K35" i="3"/>
  <c r="P35" i="3" s="1"/>
  <c r="J34" i="3"/>
  <c r="K34" i="3"/>
  <c r="L34" i="3"/>
  <c r="Q34" i="3" s="1"/>
  <c r="G34" i="3"/>
  <c r="G33" i="3"/>
  <c r="J33" i="3"/>
  <c r="K33" i="3"/>
  <c r="P33" i="3" s="1"/>
  <c r="L33" i="3"/>
  <c r="Q33" i="3" s="1"/>
  <c r="J32" i="3"/>
  <c r="K32" i="3"/>
  <c r="L32" i="3"/>
  <c r="Q32" i="3" s="1"/>
  <c r="L31" i="3"/>
  <c r="Q31" i="3" s="1"/>
  <c r="K31" i="3"/>
  <c r="P31" i="3" s="1"/>
  <c r="J31" i="3"/>
  <c r="L30" i="3"/>
  <c r="Q30" i="3" s="1"/>
  <c r="K30" i="3"/>
  <c r="M30" i="3" s="1"/>
  <c r="J30" i="3"/>
  <c r="L29" i="3"/>
  <c r="Q29" i="3" s="1"/>
  <c r="K29" i="3"/>
  <c r="P29" i="3" s="1"/>
  <c r="J29" i="3"/>
  <c r="G29" i="3"/>
  <c r="J28" i="3"/>
  <c r="L28" i="3"/>
  <c r="K28" i="3"/>
  <c r="P28" i="3" s="1"/>
  <c r="G28" i="3"/>
  <c r="L27" i="3"/>
  <c r="Q27" i="3" s="1"/>
  <c r="K27" i="3"/>
  <c r="P27" i="3" s="1"/>
  <c r="J27" i="3"/>
  <c r="G26" i="3"/>
  <c r="L26" i="3"/>
  <c r="K26" i="3"/>
  <c r="P26" i="3" s="1"/>
  <c r="J26" i="3"/>
  <c r="G43" i="3"/>
  <c r="F43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44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28" i="3" l="1"/>
  <c r="M34" i="3"/>
  <c r="Q28" i="3"/>
  <c r="P30" i="3"/>
  <c r="M36" i="3"/>
  <c r="P34" i="3"/>
  <c r="M35" i="3"/>
  <c r="M32" i="3"/>
  <c r="M33" i="3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D4" i="3" s="1"/>
  <c r="F4" i="3" s="1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5" i="3" l="1"/>
  <c r="F5" i="3" s="1"/>
  <c r="F3" i="3"/>
  <c r="D13" i="2"/>
  <c r="F12" i="2"/>
  <c r="D6" i="3" l="1"/>
  <c r="D7" i="3" s="1"/>
  <c r="F13" i="2"/>
  <c r="D14" i="2"/>
  <c r="F6" i="3" l="1"/>
  <c r="F7" i="3"/>
  <c r="D8" i="3"/>
  <c r="F14" i="2"/>
  <c r="D15" i="2"/>
  <c r="D9" i="3" l="1"/>
  <c r="F8" i="3"/>
  <c r="D16" i="2"/>
  <c r="F15" i="2"/>
  <c r="D10" i="3" l="1"/>
  <c r="F9" i="3"/>
  <c r="F16" i="2"/>
  <c r="D17" i="2"/>
  <c r="F10" i="3" l="1"/>
  <c r="D11" i="3"/>
  <c r="F17" i="2"/>
  <c r="D18" i="2"/>
  <c r="F11" i="3" l="1"/>
  <c r="D12" i="3"/>
  <c r="D19" i="2"/>
  <c r="F18" i="2"/>
  <c r="D13" i="3" l="1"/>
  <c r="F12" i="3"/>
  <c r="F19" i="2"/>
  <c r="D20" i="2"/>
  <c r="F13" i="3" l="1"/>
  <c r="D14" i="3"/>
  <c r="D21" i="2"/>
  <c r="F20" i="2"/>
  <c r="F14" i="3" l="1"/>
  <c r="D15" i="3"/>
  <c r="F21" i="2"/>
  <c r="D22" i="2"/>
  <c r="D16" i="3" l="1"/>
  <c r="F15" i="3"/>
  <c r="F22" i="2"/>
  <c r="D23" i="2"/>
  <c r="F16" i="3" l="1"/>
  <c r="D17" i="3"/>
  <c r="D24" i="2"/>
  <c r="F23" i="2"/>
  <c r="D18" i="3" l="1"/>
  <c r="F17" i="3"/>
  <c r="D25" i="2"/>
  <c r="F24" i="2"/>
  <c r="D19" i="3" l="1"/>
  <c r="F18" i="3"/>
  <c r="F25" i="2"/>
  <c r="D26" i="2"/>
  <c r="F19" i="3" l="1"/>
  <c r="D20" i="3"/>
  <c r="D27" i="2"/>
  <c r="F26" i="2"/>
  <c r="D21" i="3" l="1"/>
  <c r="F20" i="3"/>
  <c r="F27" i="2"/>
  <c r="D28" i="2"/>
  <c r="F21" i="3" l="1"/>
  <c r="D22" i="3"/>
  <c r="F28" i="2"/>
  <c r="D29" i="2"/>
  <c r="D23" i="3" l="1"/>
  <c r="F22" i="3"/>
  <c r="F29" i="2"/>
  <c r="D30" i="2"/>
  <c r="F23" i="3" l="1"/>
  <c r="D24" i="3"/>
  <c r="C45" i="3"/>
  <c r="F30" i="2"/>
  <c r="D31" i="2"/>
  <c r="F31" i="2" s="1"/>
  <c r="F24" i="3" l="1"/>
  <c r="D25" i="3"/>
  <c r="F25" i="3" l="1"/>
  <c r="D26" i="3"/>
  <c r="D27" i="3" l="1"/>
  <c r="F26" i="3"/>
  <c r="F27" i="3" l="1"/>
  <c r="D28" i="3"/>
  <c r="F28" i="3" l="1"/>
  <c r="D29" i="3"/>
  <c r="F29" i="3" l="1"/>
  <c r="D30" i="3"/>
  <c r="D31" i="3" l="1"/>
  <c r="F30" i="3"/>
  <c r="F31" i="3" l="1"/>
  <c r="D32" i="3"/>
  <c r="D33" i="3" l="1"/>
  <c r="F32" i="3"/>
  <c r="D34" i="3" l="1"/>
  <c r="F33" i="3"/>
  <c r="D35" i="3" l="1"/>
  <c r="F34" i="3"/>
  <c r="D36" i="3" l="1"/>
  <c r="F36" i="3" s="1"/>
  <c r="F35" i="3"/>
</calcChain>
</file>

<file path=xl/sharedStrings.xml><?xml version="1.0" encoding="utf-8"?>
<sst xmlns="http://schemas.openxmlformats.org/spreadsheetml/2006/main" count="111" uniqueCount="67">
  <si>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</si>
  <si>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</si>
  <si>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</si>
  <si>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</si>
  <si>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</si>
  <si>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</si>
  <si>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</si>
  <si>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</si>
  <si>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</si>
  <si>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</si>
  <si>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</si>
  <si>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</si>
  <si>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</si>
  <si>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</si>
  <si>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</si>
  <si>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</si>
  <si>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</si>
  <si>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</si>
  <si>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</si>
  <si>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</si>
  <si>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</si>
  <si>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</si>
  <si>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</si>
  <si>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</si>
  <si>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</si>
  <si>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</si>
  <si>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</si>
  <si>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</si>
  <si>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</si>
  <si>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</si>
  <si>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</si>
  <si>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</si>
  <si>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</si>
  <si>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</si>
  <si>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</si>
  <si>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</si>
  <si>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</si>
  <si>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</si>
  <si>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</si>
  <si>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</si>
  <si>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</si>
  <si>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</si>
  <si>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</si>
  <si>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</si>
  <si>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</si>
  <si>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</si>
  <si>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</si>
  <si>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</si>
  <si>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</si>
  <si>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</si>
  <si>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</si>
  <si>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</si>
  <si>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</si>
  <si>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</si>
  <si>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</si>
  <si>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</si>
  <si>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</si>
  <si>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</si>
  <si>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</si>
  <si>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</si>
  <si>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</si>
  <si>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</si>
  <si>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</si>
  <si>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</si>
  <si>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</si>
  <si>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</si>
  <si>
    <t>27.02.2026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</si>
</sst>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  <xf numFmtId="164" fontId="3" fillId="0" borderId="0" xfId="0" applyNumberFormat="1" applyFont="1" applyBorder="1" applyAlignment="1">
      <alignment horizontal="left" vertical="top" shrinkToFit="1"/>
    </xf>
    <xf numFmtId="2" fontId="3" fillId="3" borderId="0" xfId="0" applyNumberFormat="1" applyFont="1" applyFill="1" applyBorder="1" applyAlignment="1">
      <alignment horizontal="left" vertical="top" shrinkToFit="1"/>
    </xf>
    <xf numFmtId="2" fontId="3" fillId="3" borderId="0" xfId="0" applyNumberFormat="1" applyFont="1" applyFill="1" applyBorder="1" applyAlignment="1">
      <alignment horizontal="right" vertical="top" shrinkToFit="1"/>
    </xf>
    <xf numFmtId="2" fontId="3" fillId="0" borderId="0" xfId="0" applyNumberFormat="1" applyFont="1" applyBorder="1" applyAlignment="1">
      <alignment horizontal="right" vertical="top" shrinkToFit="1"/>
    </xf>
    <xf numFmtId="0" fontId="2" fillId="3" borderId="0" xfId="0" applyFont="1" applyFill="1" applyBorder="1" applyAlignment="1">
      <alignment vertical="top" wrapText="1"/>
    </xf>
    <xf numFmtId="166" fontId="3" fillId="0" borderId="0" xfId="0" applyNumberFormat="1" applyFont="1" applyBorder="1" applyAlignment="1">
      <alignment horizontal="right" vertical="top" shrinkToFit="1"/>
    </xf>
    <xf numFmtId="167" fontId="2" fillId="3" borderId="0" xfId="0" applyNumberFormat="1" applyFont="1" applyFill="1" applyBorder="1" applyAlignment="1">
      <alignment vertical="top" wrapText="1"/>
    </xf>
    <xf numFmtId="167" fontId="3" fillId="3" borderId="0" xfId="0" applyNumberFormat="1" applyFont="1" applyFill="1" applyBorder="1" applyAlignment="1">
      <alignment horizontal="right" vertical="top" shrinkToFit="1"/>
    </xf>
    <xf numFmtId="165" fontId="2" fillId="4" borderId="0" xfId="0" applyNumberFormat="1" applyFont="1" applyFill="1" applyBorder="1" applyAlignment="1">
      <alignment vertical="top" wrapText="1"/>
    </xf>
    <xf numFmtId="165" fontId="2" fillId="0" borderId="0" xfId="0" applyNumberFormat="1" applyFont="1" applyBorder="1" applyAlignment="1">
      <alignment vertical="top" wrapText="1"/>
    </xf>
    <xf numFmtId="0" fontId="2" fillId="0" borderId="0" xfId="0" applyFont="1" applyBorder="1" applyAlignment="1">
      <alignment horizontal="left" vertical="top" wrapText="1"/>
    </xf>
    <xf numFmtId="4" fontId="2" fillId="5" borderId="0" xfId="0" applyNumberFormat="1" applyFont="1" applyFill="1" applyBorder="1" applyAlignment="1">
      <alignment horizontal="left" vertical="top" wrapText="1"/>
    </xf>
    <xf numFmtId="0" fontId="2" fillId="4" borderId="0" xfId="0" applyFont="1" applyFill="1" applyBorder="1" applyAlignment="1">
      <alignment horizontal="left" vertical="top" wrapTex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5"/>
  <sheetViews>
    <sheetView tabSelected="1" zoomScale="70" zoomScaleNormal="70" workbookViewId="0">
      <selection activeCell="K27" sqref="K27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>E3-D3</f>
        <v>-150.96999999999935</v>
      </c>
      <c r="G3" s="17"/>
      <c r="H3" s="28">
        <v>13648.133400000001</v>
      </c>
      <c r="I3" s="28">
        <v>13166.56637</v>
      </c>
      <c r="J3" s="19">
        <f t="shared" ref="J3:J24" si="1">H3-I3</f>
        <v>481.56703000000016</v>
      </c>
      <c r="K3" s="27">
        <f t="shared" ref="K3:K9" si="2">H3/31.1</f>
        <v>438.84673311897109</v>
      </c>
      <c r="L3" s="27">
        <f t="shared" ref="L3:L10" si="3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4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ref="F4:F22" si="5">E4-D4</f>
        <v>-165.39999999999964</v>
      </c>
      <c r="G4" s="17"/>
      <c r="H4" s="28">
        <v>13648.133400000001</v>
      </c>
      <c r="I4" s="29">
        <v>13166.56637</v>
      </c>
      <c r="J4" s="19">
        <f t="shared" si="1"/>
        <v>481.56703000000016</v>
      </c>
      <c r="K4" s="27">
        <f t="shared" si="2"/>
        <v>438.84673311897109</v>
      </c>
      <c r="L4" s="27">
        <f t="shared" si="3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4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5"/>
        <v>-213.95999999999913</v>
      </c>
      <c r="G5" s="17"/>
      <c r="H5" s="28">
        <v>13648.133400000001</v>
      </c>
      <c r="I5" s="29">
        <v>13166.56637</v>
      </c>
      <c r="J5" s="19">
        <f t="shared" si="1"/>
        <v>481.56703000000016</v>
      </c>
      <c r="K5" s="27">
        <f t="shared" si="2"/>
        <v>438.84673311897109</v>
      </c>
      <c r="L5" s="27">
        <f t="shared" si="3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4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5"/>
        <v>-158.86999999999898</v>
      </c>
      <c r="G6" s="17"/>
      <c r="H6" s="28">
        <v>13648.133400000001</v>
      </c>
      <c r="I6" s="29">
        <v>13166.56637</v>
      </c>
      <c r="J6" s="19">
        <f t="shared" si="1"/>
        <v>481.56703000000016</v>
      </c>
      <c r="K6" s="27">
        <f t="shared" si="2"/>
        <v>438.84673311897109</v>
      </c>
      <c r="L6" s="27">
        <f t="shared" si="3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4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5"/>
        <v>269.68000000000029</v>
      </c>
      <c r="G7" s="17"/>
      <c r="H7" s="28">
        <v>14068.61844</v>
      </c>
      <c r="I7" s="29">
        <v>13588.15331</v>
      </c>
      <c r="J7" s="19">
        <f t="shared" si="1"/>
        <v>480.4651300000005</v>
      </c>
      <c r="K7" s="27">
        <f t="shared" si="2"/>
        <v>452.36715241157555</v>
      </c>
      <c r="L7" s="27">
        <f t="shared" si="3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4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5"/>
        <v>234.55000000000109</v>
      </c>
      <c r="G8" s="17"/>
      <c r="H8" s="28">
        <v>14032.62304</v>
      </c>
      <c r="I8" s="29">
        <v>13553.11289</v>
      </c>
      <c r="J8" s="19">
        <f t="shared" si="1"/>
        <v>479.51015000000007</v>
      </c>
      <c r="K8" s="27">
        <f t="shared" si="2"/>
        <v>451.20974405144693</v>
      </c>
      <c r="L8" s="27">
        <f t="shared" si="3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4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5"/>
        <v>702.31999999999971</v>
      </c>
      <c r="G9" s="17"/>
      <c r="H9" s="28">
        <v>14336.453600000001</v>
      </c>
      <c r="I9" s="29">
        <v>14215.097680000001</v>
      </c>
      <c r="J9" s="19">
        <f t="shared" si="1"/>
        <v>121.35591999999997</v>
      </c>
      <c r="K9" s="27">
        <f t="shared" si="2"/>
        <v>460.97921543408359</v>
      </c>
      <c r="L9" s="27">
        <f t="shared" si="3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4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 t="shared" si="5"/>
        <v>1268.0200000000004</v>
      </c>
      <c r="G10" s="17"/>
      <c r="H10" s="28">
        <v>14897.02686</v>
      </c>
      <c r="I10" s="29">
        <v>14775.41383</v>
      </c>
      <c r="J10" s="19">
        <f t="shared" si="1"/>
        <v>121.61303000000044</v>
      </c>
      <c r="K10" s="27">
        <f>H10/31.103</f>
        <v>478.95787737517281</v>
      </c>
      <c r="L10" s="27">
        <f t="shared" si="3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4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si="5"/>
        <v>1054.0099999999984</v>
      </c>
      <c r="G11" s="19"/>
      <c r="H11" s="29">
        <v>14749.592640000001</v>
      </c>
      <c r="I11" s="29">
        <v>14625.812540000001</v>
      </c>
      <c r="J11" s="19">
        <f t="shared" si="1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4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5"/>
        <v>1617.2999999999993</v>
      </c>
      <c r="G12" s="17"/>
      <c r="H12" s="28">
        <v>15016.509550000001</v>
      </c>
      <c r="I12" s="29">
        <v>14892.692719999999</v>
      </c>
      <c r="J12" s="19">
        <f t="shared" si="1"/>
        <v>123.81683000000157</v>
      </c>
      <c r="K12" s="27">
        <f t="shared" ref="K12:L19" si="8">H12/31.103</f>
        <v>482.79939394913674</v>
      </c>
      <c r="L12" s="27">
        <f t="shared" si="8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4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5"/>
        <v>3317.5699999999997</v>
      </c>
      <c r="G13" s="19"/>
      <c r="H13" s="29">
        <v>16045.83107</v>
      </c>
      <c r="I13" s="29">
        <v>15563.63963</v>
      </c>
      <c r="J13" s="19">
        <f t="shared" si="1"/>
        <v>482.19144000000051</v>
      </c>
      <c r="K13" s="27">
        <f t="shared" si="8"/>
        <v>515.89335658939649</v>
      </c>
      <c r="L13" s="27">
        <f t="shared" si="8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4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5"/>
        <v>913.80999999999767</v>
      </c>
      <c r="G14" s="19"/>
      <c r="H14" s="29">
        <v>14843.80509</v>
      </c>
      <c r="I14" s="29">
        <v>14361.90749</v>
      </c>
      <c r="J14" s="19">
        <f t="shared" si="1"/>
        <v>481.89760000000024</v>
      </c>
      <c r="K14" s="27">
        <f t="shared" si="8"/>
        <v>477.2467315049995</v>
      </c>
      <c r="L14" s="27">
        <f t="shared" si="8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4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5"/>
        <v>4710.3399999999965</v>
      </c>
      <c r="G15" s="19"/>
      <c r="H15" s="29">
        <v>16967.489249999999</v>
      </c>
      <c r="I15" s="29">
        <v>16034.74632</v>
      </c>
      <c r="J15" s="19">
        <f t="shared" si="1"/>
        <v>932.74292999999852</v>
      </c>
      <c r="K15" s="27">
        <f t="shared" si="8"/>
        <v>545.52580940745258</v>
      </c>
      <c r="L15" s="27">
        <f t="shared" si="8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4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5"/>
        <v>5397.8799999999974</v>
      </c>
      <c r="G16" s="19"/>
      <c r="H16" s="29">
        <v>17001.439149999998</v>
      </c>
      <c r="I16" s="29">
        <v>16688.343819999998</v>
      </c>
      <c r="J16" s="19">
        <f t="shared" si="1"/>
        <v>313.0953300000001</v>
      </c>
      <c r="K16" s="27">
        <f t="shared" si="8"/>
        <v>546.61734077098663</v>
      </c>
      <c r="L16" s="27">
        <f t="shared" si="8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4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 t="shared" si="5"/>
        <v>5397.8799999999974</v>
      </c>
      <c r="G17" s="19"/>
      <c r="H17" s="29">
        <v>17353.15425</v>
      </c>
      <c r="I17" s="29">
        <v>16420.044020000001</v>
      </c>
      <c r="J17" s="19">
        <f t="shared" si="1"/>
        <v>933.11022999999841</v>
      </c>
      <c r="K17" s="27">
        <f t="shared" si="8"/>
        <v>557.92541716233154</v>
      </c>
      <c r="L17" s="27">
        <f t="shared" si="8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4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si="5"/>
        <v>5831.739999999998</v>
      </c>
      <c r="G18" s="19"/>
      <c r="H18" s="29">
        <v>17285.649649999999</v>
      </c>
      <c r="I18" s="29">
        <v>16973.449789999999</v>
      </c>
      <c r="J18" s="19">
        <f t="shared" si="1"/>
        <v>312.19986000000063</v>
      </c>
      <c r="K18" s="27">
        <f t="shared" si="8"/>
        <v>555.75506060508633</v>
      </c>
      <c r="L18" s="27">
        <f t="shared" si="8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4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5"/>
        <v>8036.75</v>
      </c>
      <c r="G19" s="19"/>
      <c r="H19" s="29">
        <v>18029.983100000001</v>
      </c>
      <c r="I19" s="29">
        <v>17717.489399999999</v>
      </c>
      <c r="J19" s="19">
        <f t="shared" si="1"/>
        <v>312.49370000000272</v>
      </c>
      <c r="K19" s="27">
        <f t="shared" si="8"/>
        <v>579.68630357200266</v>
      </c>
      <c r="L19" s="27">
        <f t="shared" si="8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4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5"/>
        <v>8890.5</v>
      </c>
      <c r="G20" s="19"/>
      <c r="H20" s="29">
        <v>17618.098389999999</v>
      </c>
      <c r="I20" s="29">
        <v>16685.644899999999</v>
      </c>
      <c r="J20" s="19">
        <f t="shared" si="1"/>
        <v>932.45348999999987</v>
      </c>
      <c r="K20" s="27">
        <f t="shared" ref="K20:L24" si="9">H20/31.103</f>
        <v>566.44369964312114</v>
      </c>
      <c r="L20" s="27">
        <f t="shared" si="9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4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 t="shared" si="5"/>
        <v>8890.5</v>
      </c>
      <c r="G21" s="19"/>
      <c r="H21" s="29">
        <v>18621.404419999999</v>
      </c>
      <c r="I21" s="29">
        <v>17690.865290000002</v>
      </c>
      <c r="J21" s="19">
        <f t="shared" si="1"/>
        <v>930.53912999999739</v>
      </c>
      <c r="K21" s="27">
        <f t="shared" si="9"/>
        <v>598.70123203549485</v>
      </c>
      <c r="L21" s="27">
        <f t="shared" si="9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0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si="5"/>
        <v>9877.7799999999916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1"/>
        <v>931.93487000000096</v>
      </c>
      <c r="K22" s="27">
        <f t="shared" si="9"/>
        <v>614.29403401601132</v>
      </c>
      <c r="L22" s="27">
        <f t="shared" si="9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0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ref="F23:F28" si="11">E23-D23</f>
        <v>10052.469999999994</v>
      </c>
      <c r="G23" s="19"/>
      <c r="H23" s="29">
        <v>19150.279689999999</v>
      </c>
      <c r="I23" s="29">
        <v>18217.904060000001</v>
      </c>
      <c r="J23" s="19">
        <f t="shared" si="1"/>
        <v>932.37562999999864</v>
      </c>
      <c r="K23" s="27">
        <f t="shared" si="9"/>
        <v>615.70522747001894</v>
      </c>
      <c r="L23" s="27">
        <f t="shared" si="9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0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1"/>
        <v>12951.329999999994</v>
      </c>
      <c r="G24" s="19"/>
      <c r="H24" s="29">
        <v>19984.311099999999</v>
      </c>
      <c r="I24" s="29">
        <v>18833.30199</v>
      </c>
      <c r="J24" s="19">
        <f t="shared" si="1"/>
        <v>1151.0091099999991</v>
      </c>
      <c r="K24" s="27">
        <f t="shared" si="9"/>
        <v>642.52037102530301</v>
      </c>
      <c r="L24" s="27">
        <f t="shared" si="9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0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1"/>
        <v>14153.307999999997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2">H25-I25</f>
        <v>1129.7134000000005</v>
      </c>
      <c r="K25" s="27">
        <f t="shared" ref="K25:K26" si="13">H25/31.103</f>
        <v>670.0001736166929</v>
      </c>
      <c r="L25" s="27">
        <f t="shared" ref="L25:L26" si="14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5">N25-K25</f>
        <v>-6.0001736166929049</v>
      </c>
      <c r="Q25" s="1">
        <f t="shared" si="10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1"/>
        <v>10694.400000000001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2"/>
        <v>1147.8492299999998</v>
      </c>
      <c r="K26" s="27">
        <f t="shared" si="13"/>
        <v>619.81860238562194</v>
      </c>
      <c r="L26" s="27">
        <f t="shared" si="14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5"/>
        <v>-17.818602385621944</v>
      </c>
      <c r="Q26" s="1">
        <f t="shared" si="10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1"/>
        <v>10694.400000000001</v>
      </c>
      <c r="G27" s="2"/>
      <c r="H27" s="29">
        <v>19278.217990000001</v>
      </c>
      <c r="I27" s="28">
        <v>16000</v>
      </c>
      <c r="J27" s="19">
        <f t="shared" ref="J27:J28" si="16">H27-I27</f>
        <v>3278.217990000001</v>
      </c>
      <c r="K27" s="27">
        <f t="shared" ref="K27:K28" si="17">H27/31.103</f>
        <v>619.81860238562194</v>
      </c>
      <c r="L27" s="27">
        <f t="shared" ref="L27:L28" si="18">I27/31.103</f>
        <v>514.41983088448058</v>
      </c>
      <c r="M27" s="15">
        <f t="shared" ref="M27:M28" si="19">K27-L27</f>
        <v>105.39877150114137</v>
      </c>
      <c r="N27" s="1">
        <v>589.5</v>
      </c>
      <c r="O27" s="48"/>
      <c r="P27" s="26">
        <f t="shared" ref="P27:P28" si="20">N27-K27</f>
        <v>-30.318602385621944</v>
      </c>
      <c r="Q27" s="1">
        <f t="shared" ref="Q27:Q28" si="21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1"/>
        <v>2821.4200000000055</v>
      </c>
      <c r="G28" s="19">
        <f>I28*4</f>
        <v>65505.599999999999</v>
      </c>
      <c r="H28" s="29">
        <v>17125</v>
      </c>
      <c r="I28" s="28">
        <v>16376.4</v>
      </c>
      <c r="J28" s="19">
        <f t="shared" si="16"/>
        <v>748.60000000000036</v>
      </c>
      <c r="K28" s="27">
        <f t="shared" si="17"/>
        <v>550.58997524354561</v>
      </c>
      <c r="L28" s="27">
        <f t="shared" si="18"/>
        <v>526.52155740603791</v>
      </c>
      <c r="M28" s="15">
        <f t="shared" si="19"/>
        <v>24.068417837507695</v>
      </c>
      <c r="N28" s="1">
        <v>556.75</v>
      </c>
      <c r="O28" s="47"/>
      <c r="P28" s="26">
        <f t="shared" si="20"/>
        <v>6.1600247564543906</v>
      </c>
      <c r="Q28" s="1">
        <f t="shared" si="21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37" si="22">D28+C29</f>
        <v>64683.9</v>
      </c>
      <c r="E29" s="22">
        <v>69716.61</v>
      </c>
      <c r="F29" s="17">
        <f t="shared" ref="F29:F37" si="23">E29-D29</f>
        <v>5032.7099999999991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4">H29-I29</f>
        <v>736.4732299999996</v>
      </c>
      <c r="K29" s="27">
        <f t="shared" ref="K29" si="25">H29/31.103</f>
        <v>568.03665948622313</v>
      </c>
      <c r="L29" s="27">
        <f t="shared" ref="L29" si="26">I29/31.103</f>
        <v>544.35813233450142</v>
      </c>
      <c r="M29" s="15">
        <f t="shared" ref="M29" si="27">K29-L29</f>
        <v>23.67852715172171</v>
      </c>
      <c r="N29" s="1">
        <v>568</v>
      </c>
      <c r="O29" s="47"/>
      <c r="P29" s="26">
        <f t="shared" ref="P29:P37" si="28">N29-K29</f>
        <v>-3.6659486223129534E-2</v>
      </c>
      <c r="Q29" s="1">
        <f t="shared" ref="Q29:Q37" si="29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2"/>
        <v>64683.9</v>
      </c>
      <c r="E30" s="22">
        <v>73010.55</v>
      </c>
      <c r="F30" s="17">
        <f t="shared" si="23"/>
        <v>8326.6500000000015</v>
      </c>
      <c r="G30" s="19"/>
      <c r="H30" s="29">
        <v>17667.644219999998</v>
      </c>
      <c r="I30" s="28">
        <v>16931.170989999999</v>
      </c>
      <c r="J30" s="19">
        <f t="shared" ref="J30:J37" si="30">H30-I30</f>
        <v>736.4732299999996</v>
      </c>
      <c r="K30" s="27">
        <f t="shared" ref="K30" si="31">H30/31.103</f>
        <v>568.03665948622313</v>
      </c>
      <c r="L30" s="27">
        <f t="shared" ref="L30" si="32">I30/31.103</f>
        <v>544.35813233450142</v>
      </c>
      <c r="M30" s="15">
        <f t="shared" ref="M30:M37" si="33">K30-L30</f>
        <v>23.67852715172171</v>
      </c>
      <c r="N30" s="1">
        <v>592.75</v>
      </c>
      <c r="O30" s="47"/>
      <c r="P30" s="26">
        <f t="shared" si="28"/>
        <v>24.71334051377687</v>
      </c>
      <c r="Q30" s="1">
        <f t="shared" si="29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2"/>
        <v>64683.9</v>
      </c>
      <c r="E31" s="22">
        <v>72215.240000000005</v>
      </c>
      <c r="F31" s="17">
        <f t="shared" si="23"/>
        <v>7531.3400000000038</v>
      </c>
      <c r="G31" s="19"/>
      <c r="H31" s="29">
        <v>18500</v>
      </c>
      <c r="I31" s="28">
        <v>17500</v>
      </c>
      <c r="J31" s="19">
        <f t="shared" si="30"/>
        <v>1000</v>
      </c>
      <c r="K31" s="27">
        <f t="shared" ref="K31:K37" si="34">H31/31.103</f>
        <v>594.79792946018063</v>
      </c>
      <c r="L31" s="27">
        <f t="shared" ref="L31:L37" si="35">I31/31.103</f>
        <v>562.64669002990058</v>
      </c>
      <c r="M31" s="15">
        <f t="shared" si="33"/>
        <v>32.151239430280043</v>
      </c>
      <c r="N31" s="1">
        <v>594.5</v>
      </c>
      <c r="O31" s="47"/>
      <c r="P31" s="26">
        <f t="shared" si="28"/>
        <v>-0.29792946018062594</v>
      </c>
      <c r="Q31" s="1">
        <f t="shared" si="29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2"/>
        <v>64683.9</v>
      </c>
      <c r="E32" s="22">
        <v>74499.350000000006</v>
      </c>
      <c r="F32" s="17">
        <f t="shared" si="23"/>
        <v>9815.4500000000044</v>
      </c>
      <c r="G32" s="19"/>
      <c r="H32" s="29">
        <v>18847.6322</v>
      </c>
      <c r="I32" s="28">
        <v>18124.749070000002</v>
      </c>
      <c r="J32" s="19">
        <f t="shared" si="30"/>
        <v>722.88312999999835</v>
      </c>
      <c r="K32" s="27">
        <f t="shared" si="34"/>
        <v>605.97473555605563</v>
      </c>
      <c r="L32" s="27">
        <f t="shared" si="35"/>
        <v>582.73314696331545</v>
      </c>
      <c r="M32" s="15">
        <f t="shared" si="33"/>
        <v>23.241588592740186</v>
      </c>
      <c r="N32" s="1">
        <v>608.5</v>
      </c>
      <c r="O32" s="47"/>
      <c r="P32" s="26">
        <f t="shared" si="28"/>
        <v>2.5252644439443657</v>
      </c>
      <c r="Q32" s="1">
        <f t="shared" si="29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2"/>
        <v>64683.9</v>
      </c>
      <c r="E33" s="22">
        <v>73758.53</v>
      </c>
      <c r="F33" s="17">
        <f t="shared" si="23"/>
        <v>9074.6299999999974</v>
      </c>
      <c r="G33" s="19">
        <f>I33*4</f>
        <v>56800</v>
      </c>
      <c r="H33" s="29">
        <v>22200</v>
      </c>
      <c r="I33" s="28">
        <v>14200</v>
      </c>
      <c r="J33" s="19">
        <f t="shared" si="30"/>
        <v>8000</v>
      </c>
      <c r="K33" s="27">
        <f t="shared" si="34"/>
        <v>713.75751535221684</v>
      </c>
      <c r="L33" s="27">
        <f t="shared" si="35"/>
        <v>456.5475999099765</v>
      </c>
      <c r="M33" s="15">
        <f t="shared" si="33"/>
        <v>257.20991544224034</v>
      </c>
      <c r="N33" s="1">
        <v>607</v>
      </c>
      <c r="O33" s="47"/>
      <c r="P33" s="26">
        <f t="shared" si="28"/>
        <v>-106.75751535221684</v>
      </c>
      <c r="Q33" s="1">
        <f t="shared" si="29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2"/>
        <v>64683.9</v>
      </c>
      <c r="E34" s="22">
        <v>73689.37</v>
      </c>
      <c r="F34" s="17">
        <f t="shared" si="23"/>
        <v>9005.4699999999939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0"/>
        <v>552.82322999999815</v>
      </c>
      <c r="K34" s="27">
        <f t="shared" si="34"/>
        <v>596.77895026203248</v>
      </c>
      <c r="L34" s="27">
        <f t="shared" si="35"/>
        <v>579.00499823168184</v>
      </c>
      <c r="M34" s="15">
        <f t="shared" si="33"/>
        <v>17.773952030350642</v>
      </c>
      <c r="N34" s="1">
        <v>604</v>
      </c>
      <c r="O34" s="47"/>
      <c r="P34" s="26">
        <f t="shared" si="28"/>
        <v>7.2210497379675189</v>
      </c>
      <c r="Q34" s="1">
        <f t="shared" si="29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2"/>
        <v>64683.9</v>
      </c>
      <c r="E35" s="22">
        <v>74499.350000000006</v>
      </c>
      <c r="F35" s="17">
        <f t="shared" si="23"/>
        <v>9815.4500000000044</v>
      </c>
      <c r="G35" s="19">
        <f>I35*4</f>
        <v>57420</v>
      </c>
      <c r="H35" s="29">
        <v>22355</v>
      </c>
      <c r="I35" s="28">
        <v>14355</v>
      </c>
      <c r="J35" s="19">
        <f t="shared" si="30"/>
        <v>8000</v>
      </c>
      <c r="K35" s="27">
        <f t="shared" si="34"/>
        <v>718.74095746391015</v>
      </c>
      <c r="L35" s="27">
        <f t="shared" si="35"/>
        <v>461.53104202166992</v>
      </c>
      <c r="M35" s="15">
        <f t="shared" si="33"/>
        <v>257.20991544224023</v>
      </c>
      <c r="N35" s="1">
        <v>615</v>
      </c>
      <c r="O35" s="47"/>
      <c r="P35" s="26">
        <f t="shared" si="28"/>
        <v>-103.74095746391015</v>
      </c>
      <c r="Q35" s="1">
        <f t="shared" si="29"/>
        <v>153.46895797833008</v>
      </c>
      <c r="R35" s="1"/>
    </row>
    <row r="36" spans="1:19" ht="15" x14ac:dyDescent="0.2">
      <c r="A36" s="3" t="s">
        <v>66</v>
      </c>
      <c r="B36" s="52"/>
      <c r="C36" s="24"/>
      <c r="D36" s="5">
        <f t="shared" si="22"/>
        <v>64683.9</v>
      </c>
      <c r="E36" s="22">
        <v>76611.03</v>
      </c>
      <c r="F36" s="17">
        <f t="shared" si="23"/>
        <v>11927.129999999997</v>
      </c>
      <c r="G36" s="19"/>
      <c r="H36" s="29">
        <v>19369.234929999999</v>
      </c>
      <c r="I36" s="28">
        <v>18651.126700000001</v>
      </c>
      <c r="J36" s="19">
        <f t="shared" si="30"/>
        <v>718.108229999998</v>
      </c>
      <c r="K36" s="27">
        <f t="shared" si="34"/>
        <v>622.74490981577333</v>
      </c>
      <c r="L36" s="27">
        <f t="shared" si="35"/>
        <v>599.65684017618878</v>
      </c>
      <c r="M36" s="15">
        <f t="shared" si="33"/>
        <v>23.088069639584546</v>
      </c>
      <c r="N36" s="1">
        <v>631</v>
      </c>
      <c r="O36" s="47"/>
      <c r="P36" s="26">
        <f t="shared" si="28"/>
        <v>8.255090184226674</v>
      </c>
      <c r="Q36" s="1">
        <f t="shared" si="29"/>
        <v>31.34315982381122</v>
      </c>
      <c r="R36" s="1"/>
    </row>
    <row r="37" spans="1:19" ht="15" x14ac:dyDescent="0.2">
      <c r="A37" s="3" t="s">
        <v>60</v>
      </c>
      <c r="B37" s="52"/>
      <c r="C37" s="24"/>
      <c r="D37" s="5">
        <f t="shared" si="22"/>
        <v>64683.9</v>
      </c>
      <c r="E37" s="22">
        <f>4.03*I37</f>
        <v>78321.643771800009</v>
      </c>
      <c r="F37" s="17">
        <f t="shared" si="23"/>
        <v>13637.743771800007</v>
      </c>
      <c r="G37" s="19"/>
      <c r="H37" s="29">
        <v>20158.342250000002</v>
      </c>
      <c r="I37" s="28">
        <v>19434.65106</v>
      </c>
      <c r="J37" s="19">
        <f t="shared" si="30"/>
        <v>723.69119000000137</v>
      </c>
      <c r="K37" s="27">
        <f t="shared" si="34"/>
        <v>648.11568819728006</v>
      </c>
      <c r="L37" s="27">
        <f t="shared" si="35"/>
        <v>624.84811947400567</v>
      </c>
      <c r="M37" s="15">
        <f t="shared" si="33"/>
        <v>23.267568723274394</v>
      </c>
      <c r="N37" s="1">
        <v>650</v>
      </c>
      <c r="O37" s="47"/>
      <c r="P37" s="26">
        <f t="shared" si="28"/>
        <v>1.8843118027199353</v>
      </c>
      <c r="Q37" s="1">
        <f t="shared" si="29"/>
        <v>25.151880525994329</v>
      </c>
      <c r="R37" s="1"/>
    </row>
    <row r="38" spans="1:19" ht="15" x14ac:dyDescent="0.2">
      <c r="A38" s="62"/>
      <c r="B38" s="63"/>
      <c r="C38" s="64"/>
      <c r="D38" s="65"/>
      <c r="E38" s="66"/>
      <c r="F38" s="67"/>
      <c r="G38" s="67"/>
      <c r="H38" s="68"/>
      <c r="I38" s="69"/>
      <c r="J38" s="67"/>
      <c r="K38" s="70"/>
      <c r="L38" s="70"/>
      <c r="M38" s="71"/>
      <c r="N38" s="72"/>
      <c r="O38" s="73"/>
      <c r="P38" s="74"/>
      <c r="Q38" s="72"/>
      <c r="R38" s="72"/>
    </row>
    <row r="39" spans="1:19" ht="15" x14ac:dyDescent="0.2">
      <c r="A39" s="62"/>
      <c r="B39" s="63"/>
      <c r="C39" s="64"/>
      <c r="D39" s="65"/>
      <c r="E39" s="66"/>
      <c r="F39" s="67"/>
      <c r="G39" s="67"/>
      <c r="H39" s="68"/>
      <c r="I39" s="69"/>
      <c r="J39" s="67"/>
      <c r="K39" s="70"/>
      <c r="L39" s="70"/>
      <c r="M39" s="71"/>
      <c r="N39" s="72"/>
      <c r="O39" s="73"/>
      <c r="P39" s="74"/>
      <c r="Q39" s="72"/>
      <c r="R39" s="72"/>
    </row>
    <row r="40" spans="1:19" ht="15" x14ac:dyDescent="0.2">
      <c r="A40" s="62"/>
      <c r="B40" s="63"/>
      <c r="C40" s="64"/>
      <c r="D40" s="65"/>
      <c r="E40" s="66"/>
      <c r="F40" s="67"/>
      <c r="G40" s="67"/>
      <c r="H40" s="68"/>
      <c r="I40" s="69"/>
      <c r="J40" s="67"/>
      <c r="K40" s="70"/>
      <c r="L40" s="70"/>
      <c r="M40" s="71"/>
      <c r="N40" s="72"/>
      <c r="O40" s="73"/>
      <c r="P40" s="74"/>
      <c r="Q40" s="72"/>
      <c r="R40" s="72"/>
    </row>
    <row r="41" spans="1:19" ht="15" x14ac:dyDescent="0.2">
      <c r="A41" s="62"/>
      <c r="B41" s="63"/>
      <c r="C41" s="64"/>
      <c r="D41" s="65"/>
      <c r="E41" s="66"/>
      <c r="F41" s="67"/>
      <c r="G41" s="67"/>
      <c r="H41" s="68"/>
      <c r="I41" s="69"/>
      <c r="J41" s="67"/>
      <c r="K41" s="70"/>
      <c r="L41" s="70"/>
      <c r="M41" s="71"/>
      <c r="N41" s="72"/>
      <c r="O41" s="73"/>
      <c r="P41" s="74"/>
      <c r="Q41" s="72"/>
      <c r="R41" s="72"/>
    </row>
    <row r="42" spans="1:19" ht="23.25" x14ac:dyDescent="0.2">
      <c r="C42" s="54"/>
    </row>
    <row r="43" spans="1:19" ht="32.25" customHeight="1" x14ac:dyDescent="0.2">
      <c r="A43" s="54" t="s">
        <v>48</v>
      </c>
      <c r="C43" s="54" t="s">
        <v>49</v>
      </c>
      <c r="D43" s="53"/>
      <c r="E43" s="53"/>
      <c r="F43" s="53">
        <f>H43*4</f>
        <v>72521.475040000005</v>
      </c>
      <c r="G43" s="53">
        <f>I43*4</f>
        <v>77112.871960000004</v>
      </c>
      <c r="H43" s="58">
        <v>18130.368760000001</v>
      </c>
      <c r="I43">
        <v>19278.217990000001</v>
      </c>
      <c r="J43">
        <v>727521.48</v>
      </c>
    </row>
    <row r="44" spans="1:19" ht="23.25" x14ac:dyDescent="0.2">
      <c r="A44" s="53"/>
      <c r="B44" s="54" t="s">
        <v>51</v>
      </c>
      <c r="C44" s="54">
        <f>I22*4</f>
        <v>72697.809880000001</v>
      </c>
      <c r="D44" s="54" t="s">
        <v>52</v>
      </c>
      <c r="E44" s="53"/>
      <c r="F44" s="55"/>
      <c r="I44">
        <f>I36*4</f>
        <v>74604.506800000003</v>
      </c>
    </row>
    <row r="45" spans="1:19" ht="27.75" customHeight="1" x14ac:dyDescent="0.2">
      <c r="B45" s="54" t="s">
        <v>50</v>
      </c>
      <c r="C45" s="54">
        <f>C44-D23</f>
        <v>8013.9098799999992</v>
      </c>
      <c r="D45" s="54" t="s">
        <v>52</v>
      </c>
    </row>
  </sheetData>
  <conditionalFormatting sqref="F27:F41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41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61" t="s">
        <v>3</v>
      </c>
      <c r="K7" s="61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59"/>
      <c r="E32" s="60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59"/>
      <c r="E33" s="60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59"/>
      <c r="E34" s="60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59"/>
      <c r="E35" s="60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2026-03-02T13:17:56Z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